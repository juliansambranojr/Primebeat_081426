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unts" sheetId="2" state="visible" r:id="rId4"/>
    <sheet name="Prime differences" sheetId="3" state="visible" r:id="rId5"/>
    <sheet name="Composite differences" sheetId="4" state="visible" r:id="rId6"/>
    <sheet name="Zeros and repea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<sst xmlns="http://schemas.openxmlformats.org/spreadsheetml/2006/main" count="79" uniqueCount="73">
  <si>
    <t xml:space="preserve">The dyadic prime difference table</t>
  </si>
  <si>
    <t xml:space="preserve">Reconstruction of the object discussed in dyadic-table-v2.md and its addendum.</t>
  </si>
  <si>
    <t xml:space="preserve">What it is</t>
  </si>
  <si>
    <t xml:space="preserve">For each regime r, count the primes in the half-open interval (2^(r-1), 2^r].</t>
  </si>
  <si>
    <t xml:space="preserve">Then take repeated finite differences. Cell (r, d) is the d-th difference at regime r.</t>
  </si>
  <si>
    <t xml:space="preserve">Composite counts are everything else in the same interval: 2^(r-1) minus the prime count.</t>
  </si>
  <si>
    <t xml:space="preserve">Sheets</t>
  </si>
  <si>
    <t xml:space="preserve">Counts</t>
  </si>
  <si>
    <t xml:space="preserve">Prime and composite counts per regime, and the interval total 2^(r-1).</t>
  </si>
  <si>
    <t xml:space="preserve">Prime differences</t>
  </si>
  <si>
    <t xml:space="preserve">The difference table. Column d=0 is the counts; every other cell is a formula.</t>
  </si>
  <si>
    <t xml:space="preserve">Composite differences</t>
  </si>
  <si>
    <t xml:space="preserve">Same construction on the composite counts.</t>
  </si>
  <si>
    <t xml:space="preserve">Zeros and repeats</t>
  </si>
  <si>
    <t xml:space="preserve">The four zero cells, the four repeats that produce them, and the identity at each.</t>
  </si>
  <si>
    <t xml:space="preserve">Colour legend</t>
  </si>
  <si>
    <t xml:space="preserve">Blue text</t>
  </si>
  <si>
    <t xml:space="preserve">Hardcoded input. Only the prime counts in column B of Counts.</t>
  </si>
  <si>
    <t xml:space="preserve">Green text</t>
  </si>
  <si>
    <t xml:space="preserve">Link to another sheet.</t>
  </si>
  <si>
    <t xml:space="preserve">Black text</t>
  </si>
  <si>
    <t xml:space="preserve">Formula.</t>
  </si>
  <si>
    <t xml:space="preserve">Yellow fill</t>
  </si>
  <si>
    <t xml:space="preserve">A cell referred to in the papers: the four zeros, and their source repeats.</t>
  </si>
  <si>
    <t xml:space="preserve">Range and precision</t>
  </si>
  <si>
    <t xml:space="preserve">r runs 1 to 54, d runs 0 to 30. The cutoff is not arbitrary: a spreadsheet stores integers</t>
  </si>
  <si>
    <t xml:space="preserve">only about 15 significant digits. At r=50 the largest value here is 2^49, and every value is</t>
  </si>
  <si>
    <t xml:space="preserve">exact — verified cell by cell against integer arithmetic. The papers used r to 60, depth to 54.</t>
  </si>
  <si>
    <t xml:space="preserve">Source of the counts</t>
  </si>
  <si>
    <t xml:space="preserve">pi(2^n) computed with primecountpy (Kim Walisch, primecount), n = 0..60.</t>
  </si>
  <si>
    <t xml:space="preserve">Reproduce with: import primecountpy as pc; [pc.prime_pi(2**n) for n in range(61)]</t>
  </si>
  <si>
    <t xml:space="preserve">What to look at</t>
  </si>
  <si>
    <t xml:space="preserve">Four cells in the prime table are exactly zero: (2,1), (4,1), (8,3), (20,6), and no others</t>
  </si>
  <si>
    <t xml:space="preserve">anywhere to r=60, depth 54. Two are trivial. (8,3) sits on the mod-6 lattice diagonal r=2d+2,</t>
  </si>
  <si>
    <t xml:space="preserve">where a zero is structurally available. (20,6) is the only cell trivial in neither sense.</t>
  </si>
  <si>
    <t xml:space="preserve">At each of the four, the composite cell equals 2^(r-d-1) exactly. See Zeros and repeats.</t>
  </si>
  <si>
    <t xml:space="preserve">regime r</t>
  </si>
  <si>
    <t xml:space="preserve">primes in (2^(r-1), 2^r]</t>
  </si>
  <si>
    <t xml:space="preserve">composites in same interval</t>
  </si>
  <si>
    <t xml:space="preserve">interval total 2^(r-1)</t>
  </si>
  <si>
    <t xml:space="preserve">check: primes + composites - total</t>
  </si>
  <si>
    <t xml:space="preserve">r \ d</t>
  </si>
  <si>
    <t xml:space="preserve">The four zeros</t>
  </si>
  <si>
    <t xml:space="preserve">cell (r, d)</t>
  </si>
  <si>
    <t xml:space="preserve">prime cell</t>
  </si>
  <si>
    <t xml:space="preserve">composite cell</t>
  </si>
  <si>
    <t xml:space="preserve">2^(r-d-1)</t>
  </si>
  <si>
    <t xml:space="preserve">window (regimes)</t>
  </si>
  <si>
    <t xml:space="preserve">primes silenceable = pi(2^(r-d-1))</t>
  </si>
  <si>
    <t xml:space="preserve">note</t>
  </si>
  <si>
    <t xml:space="preserve">(2, 1)</t>
  </si>
  <si>
    <t xml:space="preserve">1 to 2</t>
  </si>
  <si>
    <t xml:space="preserve">trivial by membership</t>
  </si>
  <si>
    <t xml:space="preserve">(4, 1)</t>
  </si>
  <si>
    <t xml:space="preserve">3 to 4</t>
  </si>
  <si>
    <t xml:space="preserve">(8, 3)</t>
  </si>
  <si>
    <t xml:space="preserve">5 to 8</t>
  </si>
  <si>
    <t xml:space="preserve">trivial by lattice: sits on r = 2d+2, where the count coprime to 6 has an exact zero</t>
  </si>
  <si>
    <t xml:space="preserve">(20, 6)</t>
  </si>
  <si>
    <t xml:space="preserve">14 to 20</t>
  </si>
  <si>
    <t xml:space="preserve">trivial in neither sense</t>
  </si>
  <si>
    <t xml:space="preserve">The four repeats that produce them</t>
  </si>
  <si>
    <t xml:space="preserve">A zero at depth d is a repeat in the row at depth d-1. These are the only four in the table.</t>
  </si>
  <si>
    <t xml:space="preserve">depth d-1</t>
  </si>
  <si>
    <t xml:space="preserve">regimes</t>
  </si>
  <si>
    <t xml:space="preserve">repeated value</t>
  </si>
  <si>
    <t xml:space="preserve">produces zero at</t>
  </si>
  <si>
    <t xml:space="preserve">1, 2</t>
  </si>
  <si>
    <t xml:space="preserve">3, 4</t>
  </si>
  <si>
    <t xml:space="preserve">7, 8</t>
  </si>
  <si>
    <t xml:space="preserve">19, 20</t>
  </si>
  <si>
    <t xml:space="preserve">Identity: prime cell = 0  &lt;=&gt;  composite cell = 2^(r-d-1)  &lt;=&gt;  the zero survives exactly pi(2^(r-d-1)) silencings.</t>
  </si>
  <si>
    <t xml:space="preserve">Silencing radii in column F are computed values, not spreadsheet formulas; see the papers.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</si>
</sst>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2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3"/>
      <c r="B3" s="2"/>
    </row>
    <row r="4" customFormat="false" ht="15" hidden="false" customHeight="false" outlineLevel="0" collapsed="false">
      <c r="A4" s="4" t="s">
        <v>2</v>
      </c>
      <c r="B4" s="2"/>
    </row>
    <row r="5" customFormat="false" ht="15" hidden="false" customHeight="false" outlineLevel="0" collapsed="false">
      <c r="A5" s="3" t="s">
        <v>3</v>
      </c>
      <c r="B5" s="2"/>
    </row>
    <row r="6" customFormat="false" ht="15" hidden="false" customHeight="false" outlineLevel="0" collapsed="false">
      <c r="A6" s="3" t="s">
        <v>4</v>
      </c>
      <c r="B6" s="2"/>
    </row>
    <row r="7" customFormat="false" ht="15" hidden="false" customHeight="false" outlineLevel="0" collapsed="false">
      <c r="A7" s="3" t="s">
        <v>5</v>
      </c>
      <c r="B7" s="2"/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4" t="s">
        <v>6</v>
      </c>
      <c r="B9" s="2"/>
    </row>
    <row r="10" customFormat="false" ht="15" hidden="false" customHeight="false" outlineLevel="0" collapsed="false">
      <c r="A10" s="3" t="s">
        <v>7</v>
      </c>
      <c r="B10" s="2" t="s">
        <v>8</v>
      </c>
    </row>
    <row r="11" customFormat="false" ht="15" hidden="false" customHeight="false" outlineLevel="0" collapsed="false">
      <c r="A11" s="3" t="s">
        <v>9</v>
      </c>
      <c r="B11" s="2" t="s">
        <v>10</v>
      </c>
    </row>
    <row r="12" customFormat="false" ht="15" hidden="false" customHeight="false" outlineLevel="0" collapsed="false">
      <c r="A12" s="3" t="s">
        <v>11</v>
      </c>
      <c r="B12" s="2" t="s">
        <v>12</v>
      </c>
    </row>
    <row r="13" customFormat="false" ht="15" hidden="false" customHeight="false" outlineLevel="0" collapsed="false">
      <c r="A13" s="3" t="s">
        <v>13</v>
      </c>
      <c r="B13" s="2" t="s">
        <v>14</v>
      </c>
    </row>
    <row r="14" customFormat="false" ht="15" hidden="false" customHeight="false" outlineLevel="0" collapsed="false">
      <c r="A14" s="3"/>
      <c r="B14" s="2"/>
    </row>
    <row r="15" customFormat="false" ht="15" hidden="false" customHeight="false" outlineLevel="0" collapsed="false">
      <c r="A15" s="4" t="s">
        <v>15</v>
      </c>
      <c r="B15" s="2"/>
    </row>
    <row r="16" customFormat="false" ht="15" hidden="false" customHeight="false" outlineLevel="0" collapsed="false">
      <c r="A16" s="3" t="s">
        <v>16</v>
      </c>
      <c r="B16" s="2" t="s">
        <v>17</v>
      </c>
    </row>
    <row r="17" customFormat="false" ht="15" hidden="false" customHeight="false" outlineLevel="0" collapsed="false">
      <c r="A17" s="3" t="s">
        <v>18</v>
      </c>
      <c r="B17" s="2" t="s">
        <v>19</v>
      </c>
    </row>
    <row r="18" customFormat="false" ht="15" hidden="false" customHeight="false" outlineLevel="0" collapsed="false">
      <c r="A18" s="3" t="s">
        <v>20</v>
      </c>
      <c r="B18" s="2" t="s">
        <v>21</v>
      </c>
    </row>
    <row r="19" customFormat="false" ht="15" hidden="false" customHeight="false" outlineLevel="0" collapsed="false">
      <c r="A19" s="3" t="s">
        <v>22</v>
      </c>
      <c r="B19" s="2" t="s">
        <v>23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24</v>
      </c>
      <c r="B21" s="2"/>
    </row>
    <row r="22" customFormat="false" ht="15" hidden="false" customHeight="false" outlineLevel="0" collapsed="false">
      <c r="A22" s="3" t="s">
        <v>25</v>
      </c>
      <c r="B22" s="2"/>
    </row>
    <row r="23" customFormat="false" ht="15" hidden="false" customHeight="false" outlineLevel="0" collapsed="false">
      <c r="A23" s="3" t="s">
        <v>26</v>
      </c>
      <c r="B23" s="2"/>
    </row>
    <row r="24" customFormat="false" ht="15" hidden="false" customHeight="false" outlineLevel="0" collapsed="false">
      <c r="A24" s="3" t="s">
        <v>27</v>
      </c>
      <c r="B24" s="2"/>
    </row>
    <row r="25" customFormat="false" ht="15" hidden="false" customHeight="false" outlineLevel="0" collapsed="false">
      <c r="A25" s="3"/>
      <c r="B25" s="2"/>
    </row>
    <row r="26" customFormat="false" ht="15" hidden="false" customHeight="false" outlineLevel="0" collapsed="false">
      <c r="A26" s="4" t="s">
        <v>28</v>
      </c>
      <c r="B26" s="2"/>
    </row>
    <row r="27" customFormat="false" ht="15" hidden="false" customHeight="false" outlineLevel="0" collapsed="false">
      <c r="A27" s="3" t="s">
        <v>29</v>
      </c>
      <c r="B27" s="2"/>
    </row>
    <row r="28" customFormat="false" ht="15" hidden="false" customHeight="false" outlineLevel="0" collapsed="false">
      <c r="A28" s="3" t="s">
        <v>30</v>
      </c>
      <c r="B28" s="2"/>
    </row>
    <row r="29" customFormat="false" ht="15" hidden="false" customHeight="false" outlineLevel="0" collapsed="false">
      <c r="A29" s="3"/>
      <c r="B29" s="2"/>
    </row>
    <row r="30" customFormat="false" ht="15" hidden="false" customHeight="false" outlineLevel="0" collapsed="false">
      <c r="A30" s="4" t="s">
        <v>31</v>
      </c>
      <c r="B30" s="2"/>
    </row>
    <row r="31" customFormat="false" ht="15" hidden="false" customHeight="false" outlineLevel="0" collapsed="false">
      <c r="A31" s="3" t="s">
        <v>32</v>
      </c>
      <c r="B31" s="2"/>
    </row>
    <row r="32" customFormat="false" ht="15" hidden="false" customHeight="false" outlineLevel="0" collapsed="false">
      <c r="A32" s="3" t="s">
        <v>33</v>
      </c>
      <c r="B32" s="2"/>
    </row>
    <row r="33" customFormat="false" ht="15" hidden="false" customHeight="false" outlineLevel="0" collapsed="false">
      <c r="A33" s="3" t="s">
        <v>34</v>
      </c>
      <c r="B33" s="2"/>
    </row>
    <row r="34" customFormat="false" ht="15" hidden="false" customHeight="false" outlineLevel="0" collapsed="false">
      <c r="A34" s="3" t="s">
        <v>35</v>
      </c>
      <c r="B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5" min="2" style="0" width="26"/>
  </cols>
  <sheetData>
    <row r="1" customFormat="false" ht="23.85" hidden="false" customHeight="fals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</row>
    <row r="2" customFormat="false" ht="15" hidden="false" customHeight="false" outlineLevel="0" collapsed="false">
      <c r="A2" s="6" t="n">
        <v>1</v>
      </c>
      <c r="B2" s="7" t="n">
        <v>1</v>
      </c>
      <c r="C2" s="8" t="n">
        <f aca="false">D2-B2</f>
        <v>0</v>
      </c>
      <c r="D2" s="8" t="n">
        <f aca="false">2^(1-1)</f>
        <v>1</v>
      </c>
      <c r="E2" s="8" t="n">
        <f aca="false">B2+C2-D2</f>
        <v>0</v>
      </c>
    </row>
    <row r="3" customFormat="false" ht="15" hidden="false" customHeight="false" outlineLevel="0" collapsed="false">
      <c r="A3" s="6" t="n">
        <v>2</v>
      </c>
      <c r="B3" s="7" t="n">
        <v>1</v>
      </c>
      <c r="C3" s="8" t="n">
        <f aca="false">D3-B3</f>
        <v>1</v>
      </c>
      <c r="D3" s="8" t="n">
        <f aca="false">2^(2-1)</f>
        <v>2</v>
      </c>
      <c r="E3" s="8" t="n">
        <f aca="false">B3+C3-D3</f>
        <v>0</v>
      </c>
    </row>
    <row r="4" customFormat="false" ht="15" hidden="false" customHeight="false" outlineLevel="0" collapsed="false">
      <c r="A4" s="6" t="n">
        <v>3</v>
      </c>
      <c r="B4" s="7" t="n">
        <v>2</v>
      </c>
      <c r="C4" s="8" t="n">
        <f aca="false">D4-B4</f>
        <v>2</v>
      </c>
      <c r="D4" s="8" t="n">
        <f aca="false">2^(3-1)</f>
        <v>4</v>
      </c>
      <c r="E4" s="8" t="n">
        <f aca="false">B4+C4-D4</f>
        <v>0</v>
      </c>
    </row>
    <row r="5" customFormat="false" ht="15" hidden="false" customHeight="false" outlineLevel="0" collapsed="false">
      <c r="A5" s="6" t="n">
        <v>4</v>
      </c>
      <c r="B5" s="7" t="n">
        <v>2</v>
      </c>
      <c r="C5" s="8" t="n">
        <f aca="false">D5-B5</f>
        <v>6</v>
      </c>
      <c r="D5" s="8" t="n">
        <f aca="false">2^(4-1)</f>
        <v>8</v>
      </c>
      <c r="E5" s="8" t="n">
        <f aca="false">B5+C5-D5</f>
        <v>0</v>
      </c>
    </row>
    <row r="6" customFormat="false" ht="15" hidden="false" customHeight="false" outlineLevel="0" collapsed="false">
      <c r="A6" s="6" t="n">
        <v>5</v>
      </c>
      <c r="B6" s="7" t="n">
        <v>5</v>
      </c>
      <c r="C6" s="8" t="n">
        <f aca="false">D6-B6</f>
        <v>11</v>
      </c>
      <c r="D6" s="8" t="n">
        <f aca="false">2^(5-1)</f>
        <v>16</v>
      </c>
      <c r="E6" s="8" t="n">
        <f aca="false">B6+C6-D6</f>
        <v>0</v>
      </c>
    </row>
    <row r="7" customFormat="false" ht="15" hidden="false" customHeight="false" outlineLevel="0" collapsed="false">
      <c r="A7" s="6" t="n">
        <v>6</v>
      </c>
      <c r="B7" s="7" t="n">
        <v>7</v>
      </c>
      <c r="C7" s="8" t="n">
        <f aca="false">D7-B7</f>
        <v>25</v>
      </c>
      <c r="D7" s="8" t="n">
        <f aca="false">2^(6-1)</f>
        <v>32</v>
      </c>
      <c r="E7" s="8" t="n">
        <f aca="false">B7+C7-D7</f>
        <v>0</v>
      </c>
    </row>
    <row r="8" customFormat="false" ht="15" hidden="false" customHeight="false" outlineLevel="0" collapsed="false">
      <c r="A8" s="6" t="n">
        <v>7</v>
      </c>
      <c r="B8" s="7" t="n">
        <v>13</v>
      </c>
      <c r="C8" s="8" t="n">
        <f aca="false">D8-B8</f>
        <v>51</v>
      </c>
      <c r="D8" s="8" t="n">
        <f aca="false">2^(7-1)</f>
        <v>64</v>
      </c>
      <c r="E8" s="8" t="n">
        <f aca="false">B8+C8-D8</f>
        <v>0</v>
      </c>
    </row>
    <row r="9" customFormat="false" ht="15" hidden="false" customHeight="false" outlineLevel="0" collapsed="false">
      <c r="A9" s="6" t="n">
        <v>8</v>
      </c>
      <c r="B9" s="7" t="n">
        <v>23</v>
      </c>
      <c r="C9" s="8" t="n">
        <f aca="false">D9-B9</f>
        <v>105</v>
      </c>
      <c r="D9" s="8" t="n">
        <f aca="false">2^(8-1)</f>
        <v>128</v>
      </c>
      <c r="E9" s="8" t="n">
        <f aca="false">B9+C9-D9</f>
        <v>0</v>
      </c>
    </row>
    <row r="10" customFormat="false" ht="15" hidden="false" customHeight="false" outlineLevel="0" collapsed="false">
      <c r="A10" s="6" t="n">
        <v>9</v>
      </c>
      <c r="B10" s="7" t="n">
        <v>43</v>
      </c>
      <c r="C10" s="8" t="n">
        <f aca="false">D10-B10</f>
        <v>213</v>
      </c>
      <c r="D10" s="8" t="n">
        <f aca="false">2^(9-1)</f>
        <v>256</v>
      </c>
      <c r="E10" s="8" t="n">
        <f aca="false">B10+C10-D10</f>
        <v>0</v>
      </c>
    </row>
    <row r="11" customFormat="false" ht="15" hidden="false" customHeight="false" outlineLevel="0" collapsed="false">
      <c r="A11" s="6" t="n">
        <v>10</v>
      </c>
      <c r="B11" s="7" t="n">
        <v>75</v>
      </c>
      <c r="C11" s="8" t="n">
        <f aca="false">D11-B11</f>
        <v>437</v>
      </c>
      <c r="D11" s="8" t="n">
        <f aca="false">2^(10-1)</f>
        <v>512</v>
      </c>
      <c r="E11" s="8" t="n">
        <f aca="false">B11+C11-D11</f>
        <v>0</v>
      </c>
    </row>
    <row r="12" customFormat="false" ht="15" hidden="false" customHeight="false" outlineLevel="0" collapsed="false">
      <c r="A12" s="6" t="n">
        <v>11</v>
      </c>
      <c r="B12" s="7" t="n">
        <v>137</v>
      </c>
      <c r="C12" s="8" t="n">
        <f aca="false">D12-B12</f>
        <v>887</v>
      </c>
      <c r="D12" s="8" t="n">
        <f aca="false">2^(11-1)</f>
        <v>1024</v>
      </c>
      <c r="E12" s="8" t="n">
        <f aca="false">B12+C12-D12</f>
        <v>0</v>
      </c>
    </row>
    <row r="13" customFormat="false" ht="15" hidden="false" customHeight="false" outlineLevel="0" collapsed="false">
      <c r="A13" s="6" t="n">
        <v>12</v>
      </c>
      <c r="B13" s="7" t="n">
        <v>255</v>
      </c>
      <c r="C13" s="8" t="n">
        <f aca="false">D13-B13</f>
        <v>1793</v>
      </c>
      <c r="D13" s="8" t="n">
        <f aca="false">2^(12-1)</f>
        <v>2048</v>
      </c>
      <c r="E13" s="8" t="n">
        <f aca="false">B13+C13-D13</f>
        <v>0</v>
      </c>
    </row>
    <row r="14" customFormat="false" ht="15" hidden="false" customHeight="false" outlineLevel="0" collapsed="false">
      <c r="A14" s="6" t="n">
        <v>13</v>
      </c>
      <c r="B14" s="7" t="n">
        <v>464</v>
      </c>
      <c r="C14" s="8" t="n">
        <f aca="false">D14-B14</f>
        <v>3632</v>
      </c>
      <c r="D14" s="8" t="n">
        <f aca="false">2^(13-1)</f>
        <v>4096</v>
      </c>
      <c r="E14" s="8" t="n">
        <f aca="false">B14+C14-D14</f>
        <v>0</v>
      </c>
    </row>
    <row r="15" customFormat="false" ht="15" hidden="false" customHeight="false" outlineLevel="0" collapsed="false">
      <c r="A15" s="6" t="n">
        <v>14</v>
      </c>
      <c r="B15" s="7" t="n">
        <v>872</v>
      </c>
      <c r="C15" s="8" t="n">
        <f aca="false">D15-B15</f>
        <v>7320</v>
      </c>
      <c r="D15" s="8" t="n">
        <f aca="false">2^(14-1)</f>
        <v>8192</v>
      </c>
      <c r="E15" s="8" t="n">
        <f aca="false">B15+C15-D15</f>
        <v>0</v>
      </c>
    </row>
    <row r="16" customFormat="false" ht="15" hidden="false" customHeight="false" outlineLevel="0" collapsed="false">
      <c r="A16" s="6" t="n">
        <v>15</v>
      </c>
      <c r="B16" s="7" t="n">
        <v>1612</v>
      </c>
      <c r="C16" s="8" t="n">
        <f aca="false">D16-B16</f>
        <v>14772</v>
      </c>
      <c r="D16" s="8" t="n">
        <f aca="false">2^(15-1)</f>
        <v>16384</v>
      </c>
      <c r="E16" s="8" t="n">
        <f aca="false">B16+C16-D16</f>
        <v>0</v>
      </c>
    </row>
    <row r="17" customFormat="false" ht="15" hidden="false" customHeight="false" outlineLevel="0" collapsed="false">
      <c r="A17" s="6" t="n">
        <v>16</v>
      </c>
      <c r="B17" s="7" t="n">
        <v>3030</v>
      </c>
      <c r="C17" s="8" t="n">
        <f aca="false">D17-B17</f>
        <v>29738</v>
      </c>
      <c r="D17" s="8" t="n">
        <f aca="false">2^(16-1)</f>
        <v>32768</v>
      </c>
      <c r="E17" s="8" t="n">
        <f aca="false">B17+C17-D17</f>
        <v>0</v>
      </c>
    </row>
    <row r="18" customFormat="false" ht="15" hidden="false" customHeight="false" outlineLevel="0" collapsed="false">
      <c r="A18" s="6" t="n">
        <v>17</v>
      </c>
      <c r="B18" s="7" t="n">
        <v>5709</v>
      </c>
      <c r="C18" s="8" t="n">
        <f aca="false">D18-B18</f>
        <v>59827</v>
      </c>
      <c r="D18" s="8" t="n">
        <f aca="false">2^(17-1)</f>
        <v>65536</v>
      </c>
      <c r="E18" s="8" t="n">
        <f aca="false">B18+C18-D18</f>
        <v>0</v>
      </c>
    </row>
    <row r="19" customFormat="false" ht="15" hidden="false" customHeight="false" outlineLevel="0" collapsed="false">
      <c r="A19" s="6" t="n">
        <v>18</v>
      </c>
      <c r="B19" s="7" t="n">
        <v>10749</v>
      </c>
      <c r="C19" s="8" t="n">
        <f aca="false">D19-B19</f>
        <v>120323</v>
      </c>
      <c r="D19" s="8" t="n">
        <f aca="false">2^(18-1)</f>
        <v>131072</v>
      </c>
      <c r="E19" s="8" t="n">
        <f aca="false">B19+C19-D19</f>
        <v>0</v>
      </c>
    </row>
    <row r="20" customFormat="false" ht="15" hidden="false" customHeight="false" outlineLevel="0" collapsed="false">
      <c r="A20" s="6" t="n">
        <v>19</v>
      </c>
      <c r="B20" s="7" t="n">
        <v>20390</v>
      </c>
      <c r="C20" s="8" t="n">
        <f aca="false">D20-B20</f>
        <v>241754</v>
      </c>
      <c r="D20" s="8" t="n">
        <f aca="false">2^(19-1)</f>
        <v>262144</v>
      </c>
      <c r="E20" s="8" t="n">
        <f aca="false">B20+C20-D20</f>
        <v>0</v>
      </c>
    </row>
    <row r="21" customFormat="false" ht="15" hidden="false" customHeight="false" outlineLevel="0" collapsed="false">
      <c r="A21" s="6" t="n">
        <v>20</v>
      </c>
      <c r="B21" s="7" t="n">
        <v>38635</v>
      </c>
      <c r="C21" s="8" t="n">
        <f aca="false">D21-B21</f>
        <v>485653</v>
      </c>
      <c r="D21" s="8" t="n">
        <f aca="false">2^(20-1)</f>
        <v>524288</v>
      </c>
      <c r="E21" s="8" t="n">
        <f aca="false">B21+C21-D21</f>
        <v>0</v>
      </c>
    </row>
    <row r="22" customFormat="false" ht="15" hidden="false" customHeight="false" outlineLevel="0" collapsed="false">
      <c r="A22" s="6" t="n">
        <v>21</v>
      </c>
      <c r="B22" s="7" t="n">
        <v>73586</v>
      </c>
      <c r="C22" s="8" t="n">
        <f aca="false">D22-B22</f>
        <v>974990</v>
      </c>
      <c r="D22" s="8" t="n">
        <f aca="false">2^(21-1)</f>
        <v>1048576</v>
      </c>
      <c r="E22" s="8" t="n">
        <f aca="false">B22+C22-D22</f>
        <v>0</v>
      </c>
    </row>
    <row r="23" customFormat="false" ht="15" hidden="false" customHeight="false" outlineLevel="0" collapsed="false">
      <c r="A23" s="6" t="n">
        <v>22</v>
      </c>
      <c r="B23" s="7" t="n">
        <v>140336</v>
      </c>
      <c r="C23" s="8" t="n">
        <f aca="false">D23-B23</f>
        <v>1956816</v>
      </c>
      <c r="D23" s="8" t="n">
        <f aca="false">2^(22-1)</f>
        <v>2097152</v>
      </c>
      <c r="E23" s="8" t="n">
        <f aca="false">B23+C23-D23</f>
        <v>0</v>
      </c>
    </row>
    <row r="24" customFormat="false" ht="15" hidden="false" customHeight="false" outlineLevel="0" collapsed="false">
      <c r="A24" s="6" t="n">
        <v>23</v>
      </c>
      <c r="B24" s="7" t="n">
        <v>268216</v>
      </c>
      <c r="C24" s="8" t="n">
        <f aca="false">D24-B24</f>
        <v>3926088</v>
      </c>
      <c r="D24" s="8" t="n">
        <f aca="false">2^(23-1)</f>
        <v>4194304</v>
      </c>
      <c r="E24" s="8" t="n">
        <f aca="false">B24+C24-D24</f>
        <v>0</v>
      </c>
    </row>
    <row r="25" customFormat="false" ht="15" hidden="false" customHeight="false" outlineLevel="0" collapsed="false">
      <c r="A25" s="6" t="n">
        <v>24</v>
      </c>
      <c r="B25" s="7" t="n">
        <v>513708</v>
      </c>
      <c r="C25" s="8" t="n">
        <f aca="false">D25-B25</f>
        <v>7874900</v>
      </c>
      <c r="D25" s="8" t="n">
        <f aca="false">2^(24-1)</f>
        <v>8388608</v>
      </c>
      <c r="E25" s="8" t="n">
        <f aca="false">B25+C25-D25</f>
        <v>0</v>
      </c>
    </row>
    <row r="26" customFormat="false" ht="15" hidden="false" customHeight="false" outlineLevel="0" collapsed="false">
      <c r="A26" s="6" t="n">
        <v>25</v>
      </c>
      <c r="B26" s="7" t="n">
        <v>985818</v>
      </c>
      <c r="C26" s="8" t="n">
        <f aca="false">D26-B26</f>
        <v>15791398</v>
      </c>
      <c r="D26" s="8" t="n">
        <f aca="false">2^(25-1)</f>
        <v>16777216</v>
      </c>
      <c r="E26" s="8" t="n">
        <f aca="false">B26+C26-D26</f>
        <v>0</v>
      </c>
    </row>
    <row r="27" customFormat="false" ht="15" hidden="false" customHeight="false" outlineLevel="0" collapsed="false">
      <c r="A27" s="6" t="n">
        <v>26</v>
      </c>
      <c r="B27" s="7" t="n">
        <v>1894120</v>
      </c>
      <c r="C27" s="8" t="n">
        <f aca="false">D27-B27</f>
        <v>31660312</v>
      </c>
      <c r="D27" s="8" t="n">
        <f aca="false">2^(26-1)</f>
        <v>33554432</v>
      </c>
      <c r="E27" s="8" t="n">
        <f aca="false">B27+C27-D27</f>
        <v>0</v>
      </c>
    </row>
    <row r="28" customFormat="false" ht="15" hidden="false" customHeight="false" outlineLevel="0" collapsed="false">
      <c r="A28" s="6" t="n">
        <v>27</v>
      </c>
      <c r="B28" s="7" t="n">
        <v>3645744</v>
      </c>
      <c r="C28" s="8" t="n">
        <f aca="false">D28-B28</f>
        <v>63463120</v>
      </c>
      <c r="D28" s="8" t="n">
        <f aca="false">2^(27-1)</f>
        <v>67108864</v>
      </c>
      <c r="E28" s="8" t="n">
        <f aca="false">B28+C28-D28</f>
        <v>0</v>
      </c>
    </row>
    <row r="29" customFormat="false" ht="15" hidden="false" customHeight="false" outlineLevel="0" collapsed="false">
      <c r="A29" s="6" t="n">
        <v>28</v>
      </c>
      <c r="B29" s="7" t="n">
        <v>7027290</v>
      </c>
      <c r="C29" s="8" t="n">
        <f aca="false">D29-B29</f>
        <v>127190438</v>
      </c>
      <c r="D29" s="8" t="n">
        <f aca="false">2^(28-1)</f>
        <v>134217728</v>
      </c>
      <c r="E29" s="8" t="n">
        <f aca="false">B29+C29-D29</f>
        <v>0</v>
      </c>
    </row>
    <row r="30" customFormat="false" ht="15" hidden="false" customHeight="false" outlineLevel="0" collapsed="false">
      <c r="A30" s="6" t="n">
        <v>29</v>
      </c>
      <c r="B30" s="7" t="n">
        <v>13561907</v>
      </c>
      <c r="C30" s="8" t="n">
        <f aca="false">D30-B30</f>
        <v>254873549</v>
      </c>
      <c r="D30" s="8" t="n">
        <f aca="false">2^(29-1)</f>
        <v>268435456</v>
      </c>
      <c r="E30" s="8" t="n">
        <f aca="false">B30+C30-D30</f>
        <v>0</v>
      </c>
    </row>
    <row r="31" customFormat="false" ht="15" hidden="false" customHeight="false" outlineLevel="0" collapsed="false">
      <c r="A31" s="6" t="n">
        <v>30</v>
      </c>
      <c r="B31" s="7" t="n">
        <v>26207278</v>
      </c>
      <c r="C31" s="8" t="n">
        <f aca="false">D31-B31</f>
        <v>510663634</v>
      </c>
      <c r="D31" s="8" t="n">
        <f aca="false">2^(30-1)</f>
        <v>536870912</v>
      </c>
      <c r="E31" s="8" t="n">
        <f aca="false">B31+C31-D31</f>
        <v>0</v>
      </c>
    </row>
    <row r="32" customFormat="false" ht="15" hidden="false" customHeight="false" outlineLevel="0" collapsed="false">
      <c r="A32" s="6" t="n">
        <v>31</v>
      </c>
      <c r="B32" s="7" t="n">
        <v>50697537</v>
      </c>
      <c r="C32" s="8" t="n">
        <f aca="false">D32-B32</f>
        <v>1023044287</v>
      </c>
      <c r="D32" s="8" t="n">
        <f aca="false">2^(31-1)</f>
        <v>1073741824</v>
      </c>
      <c r="E32" s="8" t="n">
        <f aca="false">B32+C32-D32</f>
        <v>0</v>
      </c>
    </row>
    <row r="33" customFormat="false" ht="15" hidden="false" customHeight="false" outlineLevel="0" collapsed="false">
      <c r="A33" s="6" t="n">
        <v>32</v>
      </c>
      <c r="B33" s="7" t="n">
        <v>98182656</v>
      </c>
      <c r="C33" s="8" t="n">
        <f aca="false">D33-B33</f>
        <v>2049300992</v>
      </c>
      <c r="D33" s="8" t="n">
        <f aca="false">2^(32-1)</f>
        <v>2147483648</v>
      </c>
      <c r="E33" s="8" t="n">
        <f aca="false">B33+C33-D33</f>
        <v>0</v>
      </c>
    </row>
    <row r="34" customFormat="false" ht="15" hidden="false" customHeight="false" outlineLevel="0" collapsed="false">
      <c r="A34" s="6" t="n">
        <v>33</v>
      </c>
      <c r="B34" s="7" t="n">
        <v>190335585</v>
      </c>
      <c r="C34" s="8" t="n">
        <f aca="false">D34-B34</f>
        <v>4104631711</v>
      </c>
      <c r="D34" s="8" t="n">
        <f aca="false">2^(33-1)</f>
        <v>4294967296</v>
      </c>
      <c r="E34" s="8" t="n">
        <f aca="false">B34+C34-D34</f>
        <v>0</v>
      </c>
    </row>
    <row r="35" customFormat="false" ht="15" hidden="false" customHeight="false" outlineLevel="0" collapsed="false">
      <c r="A35" s="6" t="n">
        <v>34</v>
      </c>
      <c r="B35" s="7" t="n">
        <v>369323305</v>
      </c>
      <c r="C35" s="8" t="n">
        <f aca="false">D35-B35</f>
        <v>8220611287</v>
      </c>
      <c r="D35" s="8" t="n">
        <f aca="false">2^(34-1)</f>
        <v>8589934592</v>
      </c>
      <c r="E35" s="8" t="n">
        <f aca="false">B35+C35-D35</f>
        <v>0</v>
      </c>
    </row>
    <row r="36" customFormat="false" ht="15" hidden="false" customHeight="false" outlineLevel="0" collapsed="false">
      <c r="A36" s="6" t="n">
        <v>35</v>
      </c>
      <c r="B36" s="7" t="n">
        <v>717267168</v>
      </c>
      <c r="C36" s="8" t="n">
        <f aca="false">D36-B36</f>
        <v>16462602016</v>
      </c>
      <c r="D36" s="8" t="n">
        <f aca="false">2^(35-1)</f>
        <v>17179869184</v>
      </c>
      <c r="E36" s="8" t="n">
        <f aca="false">B36+C36-D36</f>
        <v>0</v>
      </c>
    </row>
    <row r="37" customFormat="false" ht="15" hidden="false" customHeight="false" outlineLevel="0" collapsed="false">
      <c r="A37" s="6" t="n">
        <v>36</v>
      </c>
      <c r="B37" s="7" t="n">
        <v>1394192236</v>
      </c>
      <c r="C37" s="8" t="n">
        <f aca="false">D37-B37</f>
        <v>32965546132</v>
      </c>
      <c r="D37" s="8" t="n">
        <f aca="false">2^(36-1)</f>
        <v>34359738368</v>
      </c>
      <c r="E37" s="8" t="n">
        <f aca="false">B37+C37-D37</f>
        <v>0</v>
      </c>
    </row>
    <row r="38" customFormat="false" ht="15" hidden="false" customHeight="false" outlineLevel="0" collapsed="false">
      <c r="A38" s="6" t="n">
        <v>37</v>
      </c>
      <c r="B38" s="7" t="n">
        <v>2712103833</v>
      </c>
      <c r="C38" s="8" t="n">
        <f aca="false">D38-B38</f>
        <v>66007372903</v>
      </c>
      <c r="D38" s="8" t="n">
        <f aca="false">2^(37-1)</f>
        <v>68719476736</v>
      </c>
      <c r="E38" s="8" t="n">
        <f aca="false">B38+C38-D38</f>
        <v>0</v>
      </c>
    </row>
    <row r="39" customFormat="false" ht="15" hidden="false" customHeight="false" outlineLevel="0" collapsed="false">
      <c r="A39" s="6" t="n">
        <v>38</v>
      </c>
      <c r="B39" s="7" t="n">
        <v>5279763824</v>
      </c>
      <c r="C39" s="8" t="n">
        <f aca="false">D39-B39</f>
        <v>132159189648</v>
      </c>
      <c r="D39" s="8" t="n">
        <f aca="false">2^(38-1)</f>
        <v>137438953472</v>
      </c>
      <c r="E39" s="8" t="n">
        <f aca="false">B39+C39-D39</f>
        <v>0</v>
      </c>
    </row>
    <row r="40" customFormat="false" ht="15" hidden="false" customHeight="false" outlineLevel="0" collapsed="false">
      <c r="A40" s="6" t="n">
        <v>39</v>
      </c>
      <c r="B40" s="7" t="n">
        <v>10285641778</v>
      </c>
      <c r="C40" s="8" t="n">
        <f aca="false">D40-B40</f>
        <v>264592265166</v>
      </c>
      <c r="D40" s="8" t="n">
        <f aca="false">2^(39-1)</f>
        <v>274877906944</v>
      </c>
      <c r="E40" s="8" t="n">
        <f aca="false">B40+C40-D40</f>
        <v>0</v>
      </c>
    </row>
    <row r="41" customFormat="false" ht="15" hidden="false" customHeight="false" outlineLevel="0" collapsed="false">
      <c r="A41" s="6" t="n">
        <v>40</v>
      </c>
      <c r="B41" s="7" t="n">
        <v>20051180846</v>
      </c>
      <c r="C41" s="8" t="n">
        <f aca="false">D41-B41</f>
        <v>529704633042</v>
      </c>
      <c r="D41" s="8" t="n">
        <f aca="false">2^(40-1)</f>
        <v>549755813888</v>
      </c>
      <c r="E41" s="8" t="n">
        <f aca="false">B41+C41-D41</f>
        <v>0</v>
      </c>
    </row>
    <row r="42" customFormat="false" ht="15" hidden="false" customHeight="false" outlineLevel="0" collapsed="false">
      <c r="A42" s="6" t="n">
        <v>41</v>
      </c>
      <c r="B42" s="7" t="n">
        <v>39113482640</v>
      </c>
      <c r="C42" s="8" t="n">
        <f aca="false">D42-B42</f>
        <v>1060398145136</v>
      </c>
      <c r="D42" s="8" t="n">
        <f aca="false">2^(41-1)</f>
        <v>1099511627776</v>
      </c>
      <c r="E42" s="8" t="n">
        <f aca="false">B42+C42-D42</f>
        <v>0</v>
      </c>
    </row>
    <row r="43" customFormat="false" ht="15" hidden="false" customHeight="false" outlineLevel="0" collapsed="false">
      <c r="A43" s="6" t="n">
        <v>42</v>
      </c>
      <c r="B43" s="7" t="n">
        <v>76344462797</v>
      </c>
      <c r="C43" s="8" t="n">
        <f aca="false">D43-B43</f>
        <v>2122678792755</v>
      </c>
      <c r="D43" s="8" t="n">
        <f aca="false">2^(42-1)</f>
        <v>2199023255552</v>
      </c>
      <c r="E43" s="8" t="n">
        <f aca="false">B43+C43-D43</f>
        <v>0</v>
      </c>
    </row>
    <row r="44" customFormat="false" ht="15" hidden="false" customHeight="false" outlineLevel="0" collapsed="false">
      <c r="A44" s="6" t="n">
        <v>43</v>
      </c>
      <c r="B44" s="7" t="n">
        <v>149100679004</v>
      </c>
      <c r="C44" s="8" t="n">
        <f aca="false">D44-B44</f>
        <v>4248945832100</v>
      </c>
      <c r="D44" s="8" t="n">
        <f aca="false">2^(43-1)</f>
        <v>4398046511104</v>
      </c>
      <c r="E44" s="8" t="n">
        <f aca="false">B44+C44-D44</f>
        <v>0</v>
      </c>
    </row>
    <row r="45" customFormat="false" ht="15" hidden="false" customHeight="false" outlineLevel="0" collapsed="false">
      <c r="A45" s="6" t="n">
        <v>44</v>
      </c>
      <c r="B45" s="7" t="n">
        <v>291354668495</v>
      </c>
      <c r="C45" s="8" t="n">
        <f aca="false">D45-B45</f>
        <v>8504738353713</v>
      </c>
      <c r="D45" s="8" t="n">
        <f aca="false">2^(44-1)</f>
        <v>8796093022208</v>
      </c>
      <c r="E45" s="8" t="n">
        <f aca="false">B45+C45-D45</f>
        <v>0</v>
      </c>
    </row>
    <row r="46" customFormat="false" ht="15" hidden="false" customHeight="false" outlineLevel="0" collapsed="false">
      <c r="A46" s="6" t="n">
        <v>45</v>
      </c>
      <c r="B46" s="7" t="n">
        <v>569630404450</v>
      </c>
      <c r="C46" s="8" t="n">
        <f aca="false">D46-B46</f>
        <v>17022555639966</v>
      </c>
      <c r="D46" s="8" t="n">
        <f aca="false">2^(45-1)</f>
        <v>17592186044416</v>
      </c>
      <c r="E46" s="8" t="n">
        <f aca="false">B46+C46-D46</f>
        <v>0</v>
      </c>
    </row>
    <row r="47" customFormat="false" ht="15" hidden="false" customHeight="false" outlineLevel="0" collapsed="false">
      <c r="A47" s="6" t="n">
        <v>46</v>
      </c>
      <c r="B47" s="7" t="n">
        <v>1114251967767</v>
      </c>
      <c r="C47" s="8" t="n">
        <f aca="false">D47-B47</f>
        <v>34070120121065</v>
      </c>
      <c r="D47" s="8" t="n">
        <f aca="false">2^(46-1)</f>
        <v>35184372088832</v>
      </c>
      <c r="E47" s="8" t="n">
        <f aca="false">B47+C47-D47</f>
        <v>0</v>
      </c>
    </row>
    <row r="48" customFormat="false" ht="15" hidden="false" customHeight="false" outlineLevel="0" collapsed="false">
      <c r="A48" s="6" t="n">
        <v>47</v>
      </c>
      <c r="B48" s="7" t="n">
        <v>2180634225768</v>
      </c>
      <c r="C48" s="8" t="n">
        <f aca="false">D48-B48</f>
        <v>68188109951896</v>
      </c>
      <c r="D48" s="8" t="n">
        <f aca="false">2^(47-1)</f>
        <v>70368744177664</v>
      </c>
      <c r="E48" s="8" t="n">
        <f aca="false">B48+C48-D48</f>
        <v>0</v>
      </c>
    </row>
    <row r="49" customFormat="false" ht="15" hidden="false" customHeight="false" outlineLevel="0" collapsed="false">
      <c r="A49" s="6" t="n">
        <v>48</v>
      </c>
      <c r="B49" s="7" t="n">
        <v>4269555883753</v>
      </c>
      <c r="C49" s="8" t="n">
        <f aca="false">D49-B49</f>
        <v>136467932471575</v>
      </c>
      <c r="D49" s="8" t="n">
        <f aca="false">2^(48-1)</f>
        <v>140737488355328</v>
      </c>
      <c r="E49" s="8" t="n">
        <f aca="false">B49+C49-D49</f>
        <v>0</v>
      </c>
    </row>
    <row r="50" customFormat="false" ht="15" hidden="false" customHeight="false" outlineLevel="0" collapsed="false">
      <c r="A50" s="6" t="n">
        <v>49</v>
      </c>
      <c r="B50" s="7" t="n">
        <v>8363243713308</v>
      </c>
      <c r="C50" s="8" t="n">
        <f aca="false">D50-B50</f>
        <v>273111732997348</v>
      </c>
      <c r="D50" s="8" t="n">
        <f aca="false">2^(49-1)</f>
        <v>281474976710656</v>
      </c>
      <c r="E50" s="8" t="n">
        <f aca="false">B50+C50-D50</f>
        <v>0</v>
      </c>
    </row>
    <row r="51" customFormat="false" ht="15" hidden="false" customHeight="false" outlineLevel="0" collapsed="false">
      <c r="A51" s="6" t="n">
        <v>50</v>
      </c>
      <c r="B51" s="7" t="n">
        <v>16388947026629</v>
      </c>
      <c r="C51" s="8" t="n">
        <f aca="false">D51-B51</f>
        <v>546561006394683</v>
      </c>
      <c r="D51" s="8" t="n">
        <f aca="false">2^(50-1)</f>
        <v>562949953421312</v>
      </c>
      <c r="E51" s="8" t="n">
        <f aca="false">B51+C51-D51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2" min="2" style="0" width="17"/>
  </cols>
  <sheetData>
    <row r="1" customFormat="false" ht="15" hidden="false" customHeight="false" outlineLevel="0" collapsed="false">
      <c r="A1" s="9" t="s">
        <v>41</v>
      </c>
      <c r="B1" s="9" t="n">
        <v>0</v>
      </c>
      <c r="C1" s="9" t="n">
        <v>1</v>
      </c>
      <c r="D1" s="9" t="n">
        <v>2</v>
      </c>
      <c r="E1" s="9" t="n">
        <v>3</v>
      </c>
      <c r="F1" s="9" t="n">
        <v>4</v>
      </c>
      <c r="G1" s="9" t="n">
        <v>5</v>
      </c>
      <c r="H1" s="9" t="n">
        <v>6</v>
      </c>
      <c r="I1" s="9" t="n">
        <v>7</v>
      </c>
      <c r="J1" s="9" t="n">
        <v>8</v>
      </c>
      <c r="K1" s="9" t="n">
        <v>9</v>
      </c>
      <c r="L1" s="9" t="n">
        <v>10</v>
      </c>
      <c r="M1" s="9" t="n">
        <v>11</v>
      </c>
      <c r="N1" s="9" t="n">
        <v>12</v>
      </c>
      <c r="O1" s="9" t="n">
        <v>13</v>
      </c>
      <c r="P1" s="9" t="n">
        <v>14</v>
      </c>
      <c r="Q1" s="9" t="n">
        <v>15</v>
      </c>
      <c r="R1" s="9" t="n">
        <v>16</v>
      </c>
      <c r="S1" s="9" t="n">
        <v>17</v>
      </c>
      <c r="T1" s="9" t="n">
        <v>18</v>
      </c>
      <c r="U1" s="9" t="n">
        <v>19</v>
      </c>
      <c r="V1" s="9" t="n">
        <v>20</v>
      </c>
      <c r="W1" s="9" t="n">
        <v>21</v>
      </c>
      <c r="X1" s="9" t="n">
        <v>22</v>
      </c>
      <c r="Y1" s="9" t="n">
        <v>23</v>
      </c>
      <c r="Z1" s="9" t="n">
        <v>24</v>
      </c>
      <c r="AA1" s="9" t="n">
        <v>25</v>
      </c>
      <c r="AB1" s="9" t="n">
        <v>26</v>
      </c>
      <c r="AC1" s="9" t="n">
        <v>27</v>
      </c>
      <c r="AD1" s="9" t="n">
        <v>28</v>
      </c>
      <c r="AE1" s="9" t="n">
        <v>29</v>
      </c>
      <c r="AF1" s="9" t="n">
        <v>30</v>
      </c>
    </row>
    <row r="2" customFormat="false" ht="15" hidden="false" customHeight="false" outlineLevel="0" collapsed="false">
      <c r="A2" s="9" t="n">
        <v>1</v>
      </c>
      <c r="B2" s="10" t="n">
        <f aca="false">Counts!B2</f>
        <v>1</v>
      </c>
    </row>
    <row r="3" customFormat="false" ht="15" hidden="false" customHeight="false" outlineLevel="0" collapsed="false">
      <c r="A3" s="9" t="n">
        <v>2</v>
      </c>
      <c r="B3" s="10" t="n">
        <f aca="false">Counts!B3</f>
        <v>1</v>
      </c>
      <c r="C3" s="11" t="n">
        <f aca="false">B3-B2</f>
        <v>0</v>
      </c>
    </row>
    <row r="4" customFormat="false" ht="15" hidden="false" customHeight="false" outlineLevel="0" collapsed="false">
      <c r="A4" s="9" t="n">
        <v>3</v>
      </c>
      <c r="B4" s="10" t="n">
        <f aca="false">Counts!B4</f>
        <v>2</v>
      </c>
      <c r="C4" s="8" t="n">
        <f aca="false">B4-B3</f>
        <v>1</v>
      </c>
      <c r="D4" s="8" t="n">
        <f aca="false">C4-C3</f>
        <v>1</v>
      </c>
    </row>
    <row r="5" customFormat="false" ht="15" hidden="false" customHeight="false" outlineLevel="0" collapsed="false">
      <c r="A5" s="9" t="n">
        <v>4</v>
      </c>
      <c r="B5" s="10" t="n">
        <f aca="false">Counts!B5</f>
        <v>2</v>
      </c>
      <c r="C5" s="11" t="n">
        <f aca="false">B5-B4</f>
        <v>0</v>
      </c>
      <c r="D5" s="8" t="n">
        <f aca="false">C5-C4</f>
        <v>-1</v>
      </c>
      <c r="E5" s="8" t="n">
        <f aca="false">D5-D4</f>
        <v>-2</v>
      </c>
    </row>
    <row r="6" customFormat="false" ht="15" hidden="false" customHeight="false" outlineLevel="0" collapsed="false">
      <c r="A6" s="9" t="n">
        <v>5</v>
      </c>
      <c r="B6" s="12" t="n">
        <f aca="false">Counts!B6</f>
        <v>5</v>
      </c>
      <c r="C6" s="8" t="n">
        <f aca="false">B6-B5</f>
        <v>3</v>
      </c>
      <c r="D6" s="8" t="n">
        <f aca="false">C6-C5</f>
        <v>3</v>
      </c>
      <c r="E6" s="8" t="n">
        <f aca="false">D6-D5</f>
        <v>4</v>
      </c>
      <c r="F6" s="8" t="n">
        <f aca="false">E6-E5</f>
        <v>6</v>
      </c>
    </row>
    <row r="7" customFormat="false" ht="15" hidden="false" customHeight="false" outlineLevel="0" collapsed="false">
      <c r="A7" s="9" t="n">
        <v>6</v>
      </c>
      <c r="B7" s="12" t="n">
        <f aca="false">Counts!B7</f>
        <v>7</v>
      </c>
      <c r="C7" s="8" t="n">
        <f aca="false">B7-B6</f>
        <v>2</v>
      </c>
      <c r="D7" s="8" t="n">
        <f aca="false">C7-C6</f>
        <v>-1</v>
      </c>
      <c r="E7" s="8" t="n">
        <f aca="false">D7-D6</f>
        <v>-4</v>
      </c>
      <c r="F7" s="8" t="n">
        <f aca="false">E7-E6</f>
        <v>-8</v>
      </c>
      <c r="G7" s="8" t="n">
        <f aca="false">F7-F6</f>
        <v>-14</v>
      </c>
    </row>
    <row r="8" customFormat="false" ht="15" hidden="false" customHeight="false" outlineLevel="0" collapsed="false">
      <c r="A8" s="9" t="n">
        <v>7</v>
      </c>
      <c r="B8" s="12" t="n">
        <f aca="false">Counts!B8</f>
        <v>13</v>
      </c>
      <c r="C8" s="8" t="n">
        <f aca="false">B8-B7</f>
        <v>6</v>
      </c>
      <c r="D8" s="11" t="n">
        <f aca="false">C8-C7</f>
        <v>4</v>
      </c>
      <c r="E8" s="8" t="n">
        <f aca="false">D8-D7</f>
        <v>5</v>
      </c>
      <c r="F8" s="8" t="n">
        <f aca="false">E8-E7</f>
        <v>9</v>
      </c>
      <c r="G8" s="8" t="n">
        <f aca="false">F8-F7</f>
        <v>17</v>
      </c>
      <c r="H8" s="8" t="n">
        <f aca="false">G8-G7</f>
        <v>31</v>
      </c>
    </row>
    <row r="9" customFormat="false" ht="15" hidden="false" customHeight="false" outlineLevel="0" collapsed="false">
      <c r="A9" s="9" t="n">
        <v>8</v>
      </c>
      <c r="B9" s="12" t="n">
        <f aca="false">Counts!B9</f>
        <v>23</v>
      </c>
      <c r="C9" s="8" t="n">
        <f aca="false">B9-B8</f>
        <v>10</v>
      </c>
      <c r="D9" s="11" t="n">
        <f aca="false">C9-C8</f>
        <v>4</v>
      </c>
      <c r="E9" s="11" t="n">
        <f aca="false">D9-D8</f>
        <v>0</v>
      </c>
      <c r="F9" s="8" t="n">
        <f aca="false">E9-E8</f>
        <v>-5</v>
      </c>
      <c r="G9" s="8" t="n">
        <f aca="false">F9-F8</f>
        <v>-14</v>
      </c>
      <c r="H9" s="8" t="n">
        <f aca="false">G9-G8</f>
        <v>-31</v>
      </c>
      <c r="I9" s="8" t="n">
        <f aca="false">H9-H8</f>
        <v>-62</v>
      </c>
    </row>
    <row r="10" customFormat="false" ht="15" hidden="false" customHeight="false" outlineLevel="0" collapsed="false">
      <c r="A10" s="9" t="n">
        <v>9</v>
      </c>
      <c r="B10" s="12" t="n">
        <f aca="false">Counts!B10</f>
        <v>43</v>
      </c>
      <c r="C10" s="8" t="n">
        <f aca="false">B10-B9</f>
        <v>20</v>
      </c>
      <c r="D10" s="8" t="n">
        <f aca="false">C10-C9</f>
        <v>10</v>
      </c>
      <c r="E10" s="8" t="n">
        <f aca="false">D10-D9</f>
        <v>6</v>
      </c>
      <c r="F10" s="8" t="n">
        <f aca="false">E10-E9</f>
        <v>6</v>
      </c>
      <c r="G10" s="8" t="n">
        <f aca="false">F10-F9</f>
        <v>11</v>
      </c>
      <c r="H10" s="8" t="n">
        <f aca="false">G10-G9</f>
        <v>25</v>
      </c>
      <c r="I10" s="8" t="n">
        <f aca="false">H10-H9</f>
        <v>56</v>
      </c>
      <c r="J10" s="8" t="n">
        <f aca="false">I10-I9</f>
        <v>118</v>
      </c>
    </row>
    <row r="11" customFormat="false" ht="15" hidden="false" customHeight="false" outlineLevel="0" collapsed="false">
      <c r="A11" s="9" t="n">
        <v>10</v>
      </c>
      <c r="B11" s="12" t="n">
        <f aca="false">Counts!B11</f>
        <v>75</v>
      </c>
      <c r="C11" s="8" t="n">
        <f aca="false">B11-B10</f>
        <v>32</v>
      </c>
      <c r="D11" s="8" t="n">
        <f aca="false">C11-C10</f>
        <v>12</v>
      </c>
      <c r="E11" s="8" t="n">
        <f aca="false">D11-D10</f>
        <v>2</v>
      </c>
      <c r="F11" s="8" t="n">
        <f aca="false">E11-E10</f>
        <v>-4</v>
      </c>
      <c r="G11" s="8" t="n">
        <f aca="false">F11-F10</f>
        <v>-10</v>
      </c>
      <c r="H11" s="8" t="n">
        <f aca="false">G11-G10</f>
        <v>-21</v>
      </c>
      <c r="I11" s="8" t="n">
        <f aca="false">H11-H10</f>
        <v>-46</v>
      </c>
      <c r="J11" s="8" t="n">
        <f aca="false">I11-I10</f>
        <v>-102</v>
      </c>
      <c r="K11" s="8" t="n">
        <f aca="false">J11-J10</f>
        <v>-220</v>
      </c>
    </row>
    <row r="12" customFormat="false" ht="15" hidden="false" customHeight="false" outlineLevel="0" collapsed="false">
      <c r="A12" s="9" t="n">
        <v>11</v>
      </c>
      <c r="B12" s="12" t="n">
        <f aca="false">Counts!B12</f>
        <v>137</v>
      </c>
      <c r="C12" s="8" t="n">
        <f aca="false">B12-B11</f>
        <v>62</v>
      </c>
      <c r="D12" s="8" t="n">
        <f aca="false">C12-C11</f>
        <v>30</v>
      </c>
      <c r="E12" s="8" t="n">
        <f aca="false">D12-D11</f>
        <v>18</v>
      </c>
      <c r="F12" s="8" t="n">
        <f aca="false">E12-E11</f>
        <v>16</v>
      </c>
      <c r="G12" s="8" t="n">
        <f aca="false">F12-F11</f>
        <v>20</v>
      </c>
      <c r="H12" s="8" t="n">
        <f aca="false">G12-G11</f>
        <v>30</v>
      </c>
      <c r="I12" s="8" t="n">
        <f aca="false">H12-H11</f>
        <v>51</v>
      </c>
      <c r="J12" s="8" t="n">
        <f aca="false">I12-I11</f>
        <v>97</v>
      </c>
      <c r="K12" s="8" t="n">
        <f aca="false">J12-J11</f>
        <v>199</v>
      </c>
      <c r="L12" s="8" t="n">
        <f aca="false">K12-K11</f>
        <v>419</v>
      </c>
    </row>
    <row r="13" customFormat="false" ht="15" hidden="false" customHeight="false" outlineLevel="0" collapsed="false">
      <c r="A13" s="9" t="n">
        <v>12</v>
      </c>
      <c r="B13" s="12" t="n">
        <f aca="false">Counts!B13</f>
        <v>255</v>
      </c>
      <c r="C13" s="8" t="n">
        <f aca="false">B13-B12</f>
        <v>118</v>
      </c>
      <c r="D13" s="8" t="n">
        <f aca="false">C13-C12</f>
        <v>56</v>
      </c>
      <c r="E13" s="8" t="n">
        <f aca="false">D13-D12</f>
        <v>26</v>
      </c>
      <c r="F13" s="8" t="n">
        <f aca="false">E13-E12</f>
        <v>8</v>
      </c>
      <c r="G13" s="8" t="n">
        <f aca="false">F13-F12</f>
        <v>-8</v>
      </c>
      <c r="H13" s="8" t="n">
        <f aca="false">G13-G12</f>
        <v>-28</v>
      </c>
      <c r="I13" s="8" t="n">
        <f aca="false">H13-H12</f>
        <v>-58</v>
      </c>
      <c r="J13" s="8" t="n">
        <f aca="false">I13-I12</f>
        <v>-109</v>
      </c>
      <c r="K13" s="8" t="n">
        <f aca="false">J13-J12</f>
        <v>-206</v>
      </c>
      <c r="L13" s="8" t="n">
        <f aca="false">K13-K12</f>
        <v>-405</v>
      </c>
      <c r="M13" s="8" t="n">
        <f aca="false">L13-L12</f>
        <v>-824</v>
      </c>
    </row>
    <row r="14" customFormat="false" ht="15" hidden="false" customHeight="false" outlineLevel="0" collapsed="false">
      <c r="A14" s="9" t="n">
        <v>13</v>
      </c>
      <c r="B14" s="12" t="n">
        <f aca="false">Counts!B14</f>
        <v>464</v>
      </c>
      <c r="C14" s="8" t="n">
        <f aca="false">B14-B13</f>
        <v>209</v>
      </c>
      <c r="D14" s="8" t="n">
        <f aca="false">C14-C13</f>
        <v>91</v>
      </c>
      <c r="E14" s="8" t="n">
        <f aca="false">D14-D13</f>
        <v>35</v>
      </c>
      <c r="F14" s="8" t="n">
        <f aca="false">E14-E13</f>
        <v>9</v>
      </c>
      <c r="G14" s="8" t="n">
        <f aca="false">F14-F13</f>
        <v>1</v>
      </c>
      <c r="H14" s="8" t="n">
        <f aca="false">G14-G13</f>
        <v>9</v>
      </c>
      <c r="I14" s="8" t="n">
        <f aca="false">H14-H13</f>
        <v>37</v>
      </c>
      <c r="J14" s="8" t="n">
        <f aca="false">I14-I13</f>
        <v>95</v>
      </c>
      <c r="K14" s="8" t="n">
        <f aca="false">J14-J13</f>
        <v>204</v>
      </c>
      <c r="L14" s="8" t="n">
        <f aca="false">K14-K13</f>
        <v>410</v>
      </c>
      <c r="M14" s="8" t="n">
        <f aca="false">L14-L13</f>
        <v>815</v>
      </c>
      <c r="N14" s="8" t="n">
        <f aca="false">M14-M13</f>
        <v>1639</v>
      </c>
    </row>
    <row r="15" customFormat="false" ht="15" hidden="false" customHeight="false" outlineLevel="0" collapsed="false">
      <c r="A15" s="9" t="n">
        <v>14</v>
      </c>
      <c r="B15" s="12" t="n">
        <f aca="false">Counts!B15</f>
        <v>872</v>
      </c>
      <c r="C15" s="8" t="n">
        <f aca="false">B15-B14</f>
        <v>408</v>
      </c>
      <c r="D15" s="8" t="n">
        <f aca="false">C15-C14</f>
        <v>199</v>
      </c>
      <c r="E15" s="8" t="n">
        <f aca="false">D15-D14</f>
        <v>108</v>
      </c>
      <c r="F15" s="8" t="n">
        <f aca="false">E15-E14</f>
        <v>73</v>
      </c>
      <c r="G15" s="8" t="n">
        <f aca="false">F15-F14</f>
        <v>64</v>
      </c>
      <c r="H15" s="8" t="n">
        <f aca="false">G15-G14</f>
        <v>63</v>
      </c>
      <c r="I15" s="8" t="n">
        <f aca="false">H15-H14</f>
        <v>54</v>
      </c>
      <c r="J15" s="8" t="n">
        <f aca="false">I15-I14</f>
        <v>17</v>
      </c>
      <c r="K15" s="8" t="n">
        <f aca="false">J15-J14</f>
        <v>-78</v>
      </c>
      <c r="L15" s="8" t="n">
        <f aca="false">K15-K14</f>
        <v>-282</v>
      </c>
      <c r="M15" s="8" t="n">
        <f aca="false">L15-L14</f>
        <v>-692</v>
      </c>
      <c r="N15" s="8" t="n">
        <f aca="false">M15-M14</f>
        <v>-1507</v>
      </c>
      <c r="O15" s="8" t="n">
        <f aca="false">N15-N14</f>
        <v>-3146</v>
      </c>
    </row>
    <row r="16" customFormat="false" ht="15" hidden="false" customHeight="false" outlineLevel="0" collapsed="false">
      <c r="A16" s="9" t="n">
        <v>15</v>
      </c>
      <c r="B16" s="12" t="n">
        <f aca="false">Counts!B16</f>
        <v>1612</v>
      </c>
      <c r="C16" s="8" t="n">
        <f aca="false">B16-B15</f>
        <v>740</v>
      </c>
      <c r="D16" s="8" t="n">
        <f aca="false">C16-C15</f>
        <v>332</v>
      </c>
      <c r="E16" s="8" t="n">
        <f aca="false">D16-D15</f>
        <v>133</v>
      </c>
      <c r="F16" s="8" t="n">
        <f aca="false">E16-E15</f>
        <v>25</v>
      </c>
      <c r="G16" s="8" t="n">
        <f aca="false">F16-F15</f>
        <v>-48</v>
      </c>
      <c r="H16" s="8" t="n">
        <f aca="false">G16-G15</f>
        <v>-112</v>
      </c>
      <c r="I16" s="8" t="n">
        <f aca="false">H16-H15</f>
        <v>-175</v>
      </c>
      <c r="J16" s="8" t="n">
        <f aca="false">I16-I15</f>
        <v>-229</v>
      </c>
      <c r="K16" s="8" t="n">
        <f aca="false">J16-J15</f>
        <v>-246</v>
      </c>
      <c r="L16" s="8" t="n">
        <f aca="false">K16-K15</f>
        <v>-168</v>
      </c>
      <c r="M16" s="8" t="n">
        <f aca="false">L16-L15</f>
        <v>114</v>
      </c>
      <c r="N16" s="8" t="n">
        <f aca="false">M16-M15</f>
        <v>806</v>
      </c>
      <c r="O16" s="8" t="n">
        <f aca="false">N16-N15</f>
        <v>2313</v>
      </c>
      <c r="P16" s="8" t="n">
        <f aca="false">O16-O15</f>
        <v>5459</v>
      </c>
    </row>
    <row r="17" customFormat="false" ht="15" hidden="false" customHeight="false" outlineLevel="0" collapsed="false">
      <c r="A17" s="9" t="n">
        <v>16</v>
      </c>
      <c r="B17" s="12" t="n">
        <f aca="false">Counts!B17</f>
        <v>3030</v>
      </c>
      <c r="C17" s="8" t="n">
        <f aca="false">B17-B16</f>
        <v>1418</v>
      </c>
      <c r="D17" s="8" t="n">
        <f aca="false">C17-C16</f>
        <v>678</v>
      </c>
      <c r="E17" s="8" t="n">
        <f aca="false">D17-D16</f>
        <v>346</v>
      </c>
      <c r="F17" s="8" t="n">
        <f aca="false">E17-E16</f>
        <v>213</v>
      </c>
      <c r="G17" s="8" t="n">
        <f aca="false">F17-F16</f>
        <v>188</v>
      </c>
      <c r="H17" s="8" t="n">
        <f aca="false">G17-G16</f>
        <v>236</v>
      </c>
      <c r="I17" s="8" t="n">
        <f aca="false">H17-H16</f>
        <v>348</v>
      </c>
      <c r="J17" s="8" t="n">
        <f aca="false">I17-I16</f>
        <v>523</v>
      </c>
      <c r="K17" s="8" t="n">
        <f aca="false">J17-J16</f>
        <v>752</v>
      </c>
      <c r="L17" s="8" t="n">
        <f aca="false">K17-K16</f>
        <v>998</v>
      </c>
      <c r="M17" s="8" t="n">
        <f aca="false">L17-L16</f>
        <v>1166</v>
      </c>
      <c r="N17" s="8" t="n">
        <f aca="false">M17-M16</f>
        <v>1052</v>
      </c>
      <c r="O17" s="8" t="n">
        <f aca="false">N17-N16</f>
        <v>246</v>
      </c>
      <c r="P17" s="8" t="n">
        <f aca="false">O17-O16</f>
        <v>-2067</v>
      </c>
      <c r="Q17" s="8" t="n">
        <f aca="false">P17-P16</f>
        <v>-7526</v>
      </c>
    </row>
    <row r="18" customFormat="false" ht="15" hidden="false" customHeight="false" outlineLevel="0" collapsed="false">
      <c r="A18" s="9" t="n">
        <v>17</v>
      </c>
      <c r="B18" s="12" t="n">
        <f aca="false">Counts!B18</f>
        <v>5709</v>
      </c>
      <c r="C18" s="8" t="n">
        <f aca="false">B18-B17</f>
        <v>2679</v>
      </c>
      <c r="D18" s="8" t="n">
        <f aca="false">C18-C17</f>
        <v>1261</v>
      </c>
      <c r="E18" s="8" t="n">
        <f aca="false">D18-D17</f>
        <v>583</v>
      </c>
      <c r="F18" s="8" t="n">
        <f aca="false">E18-E17</f>
        <v>237</v>
      </c>
      <c r="G18" s="8" t="n">
        <f aca="false">F18-F17</f>
        <v>24</v>
      </c>
      <c r="H18" s="8" t="n">
        <f aca="false">G18-G17</f>
        <v>-164</v>
      </c>
      <c r="I18" s="8" t="n">
        <f aca="false">H18-H17</f>
        <v>-400</v>
      </c>
      <c r="J18" s="8" t="n">
        <f aca="false">I18-I17</f>
        <v>-748</v>
      </c>
      <c r="K18" s="8" t="n">
        <f aca="false">J18-J17</f>
        <v>-1271</v>
      </c>
      <c r="L18" s="8" t="n">
        <f aca="false">K18-K17</f>
        <v>-2023</v>
      </c>
      <c r="M18" s="8" t="n">
        <f aca="false">L18-L17</f>
        <v>-3021</v>
      </c>
      <c r="N18" s="8" t="n">
        <f aca="false">M18-M17</f>
        <v>-4187</v>
      </c>
      <c r="O18" s="8" t="n">
        <f aca="false">N18-N17</f>
        <v>-5239</v>
      </c>
      <c r="P18" s="8" t="n">
        <f aca="false">O18-O17</f>
        <v>-5485</v>
      </c>
      <c r="Q18" s="8" t="n">
        <f aca="false">P18-P17</f>
        <v>-3418</v>
      </c>
      <c r="R18" s="8" t="n">
        <f aca="false">Q18-Q17</f>
        <v>4108</v>
      </c>
    </row>
    <row r="19" customFormat="false" ht="15" hidden="false" customHeight="false" outlineLevel="0" collapsed="false">
      <c r="A19" s="9" t="n">
        <v>18</v>
      </c>
      <c r="B19" s="12" t="n">
        <f aca="false">Counts!B19</f>
        <v>10749</v>
      </c>
      <c r="C19" s="8" t="n">
        <f aca="false">B19-B18</f>
        <v>5040</v>
      </c>
      <c r="D19" s="8" t="n">
        <f aca="false">C19-C18</f>
        <v>2361</v>
      </c>
      <c r="E19" s="8" t="n">
        <f aca="false">D19-D18</f>
        <v>1100</v>
      </c>
      <c r="F19" s="8" t="n">
        <f aca="false">E19-E18</f>
        <v>517</v>
      </c>
      <c r="G19" s="8" t="n">
        <f aca="false">F19-F18</f>
        <v>280</v>
      </c>
      <c r="H19" s="8" t="n">
        <f aca="false">G19-G18</f>
        <v>256</v>
      </c>
      <c r="I19" s="8" t="n">
        <f aca="false">H19-H18</f>
        <v>420</v>
      </c>
      <c r="J19" s="8" t="n">
        <f aca="false">I19-I18</f>
        <v>820</v>
      </c>
      <c r="K19" s="8" t="n">
        <f aca="false">J19-J18</f>
        <v>1568</v>
      </c>
      <c r="L19" s="8" t="n">
        <f aca="false">K19-K18</f>
        <v>2839</v>
      </c>
      <c r="M19" s="8" t="n">
        <f aca="false">L19-L18</f>
        <v>4862</v>
      </c>
      <c r="N19" s="8" t="n">
        <f aca="false">M19-M18</f>
        <v>7883</v>
      </c>
      <c r="O19" s="8" t="n">
        <f aca="false">N19-N18</f>
        <v>12070</v>
      </c>
      <c r="P19" s="8" t="n">
        <f aca="false">O19-O18</f>
        <v>17309</v>
      </c>
      <c r="Q19" s="8" t="n">
        <f aca="false">P19-P18</f>
        <v>22794</v>
      </c>
      <c r="R19" s="8" t="n">
        <f aca="false">Q19-Q18</f>
        <v>26212</v>
      </c>
      <c r="S19" s="8" t="n">
        <f aca="false">R19-R18</f>
        <v>22104</v>
      </c>
    </row>
    <row r="20" customFormat="false" ht="15" hidden="false" customHeight="false" outlineLevel="0" collapsed="false">
      <c r="A20" s="9" t="n">
        <v>19</v>
      </c>
      <c r="B20" s="12" t="n">
        <f aca="false">Counts!B20</f>
        <v>20390</v>
      </c>
      <c r="C20" s="8" t="n">
        <f aca="false">B20-B19</f>
        <v>9641</v>
      </c>
      <c r="D20" s="8" t="n">
        <f aca="false">C20-C19</f>
        <v>4601</v>
      </c>
      <c r="E20" s="8" t="n">
        <f aca="false">D20-D19</f>
        <v>2240</v>
      </c>
      <c r="F20" s="8" t="n">
        <f aca="false">E20-E19</f>
        <v>1140</v>
      </c>
      <c r="G20" s="11" t="n">
        <f aca="false">F20-F19</f>
        <v>623</v>
      </c>
      <c r="H20" s="8" t="n">
        <f aca="false">G20-G19</f>
        <v>343</v>
      </c>
      <c r="I20" s="8" t="n">
        <f aca="false">H20-H19</f>
        <v>87</v>
      </c>
      <c r="J20" s="8" t="n">
        <f aca="false">I20-I19</f>
        <v>-333</v>
      </c>
      <c r="K20" s="8" t="n">
        <f aca="false">J20-J19</f>
        <v>-1153</v>
      </c>
      <c r="L20" s="8" t="n">
        <f aca="false">K20-K19</f>
        <v>-2721</v>
      </c>
      <c r="M20" s="8" t="n">
        <f aca="false">L20-L19</f>
        <v>-5560</v>
      </c>
      <c r="N20" s="8" t="n">
        <f aca="false">M20-M19</f>
        <v>-10422</v>
      </c>
      <c r="O20" s="8" t="n">
        <f aca="false">N20-N19</f>
        <v>-18305</v>
      </c>
      <c r="P20" s="8" t="n">
        <f aca="false">O20-O19</f>
        <v>-30375</v>
      </c>
      <c r="Q20" s="8" t="n">
        <f aca="false">P20-P19</f>
        <v>-47684</v>
      </c>
      <c r="R20" s="8" t="n">
        <f aca="false">Q20-Q19</f>
        <v>-70478</v>
      </c>
      <c r="S20" s="8" t="n">
        <f aca="false">R20-R19</f>
        <v>-96690</v>
      </c>
      <c r="T20" s="8" t="n">
        <f aca="false">S20-S19</f>
        <v>-118794</v>
      </c>
    </row>
    <row r="21" customFormat="false" ht="15" hidden="false" customHeight="false" outlineLevel="0" collapsed="false">
      <c r="A21" s="9" t="n">
        <v>20</v>
      </c>
      <c r="B21" s="12" t="n">
        <f aca="false">Counts!B21</f>
        <v>38635</v>
      </c>
      <c r="C21" s="8" t="n">
        <f aca="false">B21-B20</f>
        <v>18245</v>
      </c>
      <c r="D21" s="8" t="n">
        <f aca="false">C21-C20</f>
        <v>8604</v>
      </c>
      <c r="E21" s="8" t="n">
        <f aca="false">D21-D20</f>
        <v>4003</v>
      </c>
      <c r="F21" s="8" t="n">
        <f aca="false">E21-E20</f>
        <v>1763</v>
      </c>
      <c r="G21" s="11" t="n">
        <f aca="false">F21-F20</f>
        <v>623</v>
      </c>
      <c r="H21" s="11" t="n">
        <f aca="false">G21-G20</f>
        <v>0</v>
      </c>
      <c r="I21" s="8" t="n">
        <f aca="false">H21-H20</f>
        <v>-343</v>
      </c>
      <c r="J21" s="8" t="n">
        <f aca="false">I21-I20</f>
        <v>-430</v>
      </c>
      <c r="K21" s="8" t="n">
        <f aca="false">J21-J20</f>
        <v>-97</v>
      </c>
      <c r="L21" s="8" t="n">
        <f aca="false">K21-K20</f>
        <v>1056</v>
      </c>
      <c r="M21" s="8" t="n">
        <f aca="false">L21-L20</f>
        <v>3777</v>
      </c>
      <c r="N21" s="8" t="n">
        <f aca="false">M21-M20</f>
        <v>9337</v>
      </c>
      <c r="O21" s="8" t="n">
        <f aca="false">N21-N20</f>
        <v>19759</v>
      </c>
      <c r="P21" s="8" t="n">
        <f aca="false">O21-O20</f>
        <v>38064</v>
      </c>
      <c r="Q21" s="8" t="n">
        <f aca="false">P21-P20</f>
        <v>68439</v>
      </c>
      <c r="R21" s="8" t="n">
        <f aca="false">Q21-Q20</f>
        <v>116123</v>
      </c>
      <c r="S21" s="8" t="n">
        <f aca="false">R21-R20</f>
        <v>186601</v>
      </c>
      <c r="T21" s="8" t="n">
        <f aca="false">S21-S20</f>
        <v>283291</v>
      </c>
      <c r="U21" s="8" t="n">
        <f aca="false">T21-T20</f>
        <v>402085</v>
      </c>
    </row>
    <row r="22" customFormat="false" ht="15" hidden="false" customHeight="false" outlineLevel="0" collapsed="false">
      <c r="A22" s="9" t="n">
        <v>21</v>
      </c>
      <c r="B22" s="12" t="n">
        <f aca="false">Counts!B22</f>
        <v>73586</v>
      </c>
      <c r="C22" s="8" t="n">
        <f aca="false">B22-B21</f>
        <v>34951</v>
      </c>
      <c r="D22" s="8" t="n">
        <f aca="false">C22-C21</f>
        <v>16706</v>
      </c>
      <c r="E22" s="8" t="n">
        <f aca="false">D22-D21</f>
        <v>8102</v>
      </c>
      <c r="F22" s="8" t="n">
        <f aca="false">E22-E21</f>
        <v>4099</v>
      </c>
      <c r="G22" s="8" t="n">
        <f aca="false">F22-F21</f>
        <v>2336</v>
      </c>
      <c r="H22" s="8" t="n">
        <f aca="false">G22-G21</f>
        <v>1713</v>
      </c>
      <c r="I22" s="8" t="n">
        <f aca="false">H22-H21</f>
        <v>1713</v>
      </c>
      <c r="J22" s="8" t="n">
        <f aca="false">I22-I21</f>
        <v>2056</v>
      </c>
      <c r="K22" s="8" t="n">
        <f aca="false">J22-J21</f>
        <v>2486</v>
      </c>
      <c r="L22" s="8" t="n">
        <f aca="false">K22-K21</f>
        <v>2583</v>
      </c>
      <c r="M22" s="8" t="n">
        <f aca="false">L22-L21</f>
        <v>1527</v>
      </c>
      <c r="N22" s="8" t="n">
        <f aca="false">M22-M21</f>
        <v>-2250</v>
      </c>
      <c r="O22" s="8" t="n">
        <f aca="false">N22-N21</f>
        <v>-11587</v>
      </c>
      <c r="P22" s="8" t="n">
        <f aca="false">O22-O21</f>
        <v>-31346</v>
      </c>
      <c r="Q22" s="8" t="n">
        <f aca="false">P22-P21</f>
        <v>-69410</v>
      </c>
      <c r="R22" s="8" t="n">
        <f aca="false">Q22-Q21</f>
        <v>-137849</v>
      </c>
      <c r="S22" s="8" t="n">
        <f aca="false">R22-R21</f>
        <v>-253972</v>
      </c>
      <c r="T22" s="8" t="n">
        <f aca="false">S22-S21</f>
        <v>-440573</v>
      </c>
      <c r="U22" s="8" t="n">
        <f aca="false">T22-T21</f>
        <v>-723864</v>
      </c>
      <c r="V22" s="8" t="n">
        <f aca="false">U22-U21</f>
        <v>-1125949</v>
      </c>
    </row>
    <row r="23" customFormat="false" ht="15" hidden="false" customHeight="false" outlineLevel="0" collapsed="false">
      <c r="A23" s="9" t="n">
        <v>22</v>
      </c>
      <c r="B23" s="12" t="n">
        <f aca="false">Counts!B23</f>
        <v>140336</v>
      </c>
      <c r="C23" s="8" t="n">
        <f aca="false">B23-B22</f>
        <v>66750</v>
      </c>
      <c r="D23" s="8" t="n">
        <f aca="false">C23-C22</f>
        <v>31799</v>
      </c>
      <c r="E23" s="8" t="n">
        <f aca="false">D23-D22</f>
        <v>15093</v>
      </c>
      <c r="F23" s="8" t="n">
        <f aca="false">E23-E22</f>
        <v>6991</v>
      </c>
      <c r="G23" s="8" t="n">
        <f aca="false">F23-F22</f>
        <v>2892</v>
      </c>
      <c r="H23" s="8" t="n">
        <f aca="false">G23-G22</f>
        <v>556</v>
      </c>
      <c r="I23" s="8" t="n">
        <f aca="false">H23-H22</f>
        <v>-1157</v>
      </c>
      <c r="J23" s="8" t="n">
        <f aca="false">I23-I22</f>
        <v>-2870</v>
      </c>
      <c r="K23" s="8" t="n">
        <f aca="false">J23-J22</f>
        <v>-4926</v>
      </c>
      <c r="L23" s="8" t="n">
        <f aca="false">K23-K22</f>
        <v>-7412</v>
      </c>
      <c r="M23" s="8" t="n">
        <f aca="false">L23-L22</f>
        <v>-9995</v>
      </c>
      <c r="N23" s="8" t="n">
        <f aca="false">M23-M22</f>
        <v>-11522</v>
      </c>
      <c r="O23" s="8" t="n">
        <f aca="false">N23-N22</f>
        <v>-9272</v>
      </c>
      <c r="P23" s="8" t="n">
        <f aca="false">O23-O22</f>
        <v>2315</v>
      </c>
      <c r="Q23" s="8" t="n">
        <f aca="false">P23-P22</f>
        <v>33661</v>
      </c>
      <c r="R23" s="8" t="n">
        <f aca="false">Q23-Q22</f>
        <v>103071</v>
      </c>
      <c r="S23" s="8" t="n">
        <f aca="false">R23-R22</f>
        <v>240920</v>
      </c>
      <c r="T23" s="8" t="n">
        <f aca="false">S23-S22</f>
        <v>494892</v>
      </c>
      <c r="U23" s="8" t="n">
        <f aca="false">T23-T22</f>
        <v>935465</v>
      </c>
      <c r="V23" s="8" t="n">
        <f aca="false">U23-U22</f>
        <v>1659329</v>
      </c>
      <c r="W23" s="8" t="n">
        <f aca="false">V23-V22</f>
        <v>2785278</v>
      </c>
    </row>
    <row r="24" customFormat="false" ht="15" hidden="false" customHeight="false" outlineLevel="0" collapsed="false">
      <c r="A24" s="9" t="n">
        <v>23</v>
      </c>
      <c r="B24" s="12" t="n">
        <f aca="false">Counts!B24</f>
        <v>268216</v>
      </c>
      <c r="C24" s="8" t="n">
        <f aca="false">B24-B23</f>
        <v>127880</v>
      </c>
      <c r="D24" s="8" t="n">
        <f aca="false">C24-C23</f>
        <v>61130</v>
      </c>
      <c r="E24" s="8" t="n">
        <f aca="false">D24-D23</f>
        <v>29331</v>
      </c>
      <c r="F24" s="8" t="n">
        <f aca="false">E24-E23</f>
        <v>14238</v>
      </c>
      <c r="G24" s="8" t="n">
        <f aca="false">F24-F23</f>
        <v>7247</v>
      </c>
      <c r="H24" s="8" t="n">
        <f aca="false">G24-G23</f>
        <v>4355</v>
      </c>
      <c r="I24" s="8" t="n">
        <f aca="false">H24-H23</f>
        <v>3799</v>
      </c>
      <c r="J24" s="8" t="n">
        <f aca="false">I24-I23</f>
        <v>4956</v>
      </c>
      <c r="K24" s="8" t="n">
        <f aca="false">J24-J23</f>
        <v>7826</v>
      </c>
      <c r="L24" s="8" t="n">
        <f aca="false">K24-K23</f>
        <v>12752</v>
      </c>
      <c r="M24" s="8" t="n">
        <f aca="false">L24-L23</f>
        <v>20164</v>
      </c>
      <c r="N24" s="8" t="n">
        <f aca="false">M24-M23</f>
        <v>30159</v>
      </c>
      <c r="O24" s="8" t="n">
        <f aca="false">N24-N23</f>
        <v>41681</v>
      </c>
      <c r="P24" s="8" t="n">
        <f aca="false">O24-O23</f>
        <v>50953</v>
      </c>
      <c r="Q24" s="8" t="n">
        <f aca="false">P24-P23</f>
        <v>48638</v>
      </c>
      <c r="R24" s="8" t="n">
        <f aca="false">Q24-Q23</f>
        <v>14977</v>
      </c>
      <c r="S24" s="8" t="n">
        <f aca="false">R24-R23</f>
        <v>-88094</v>
      </c>
      <c r="T24" s="8" t="n">
        <f aca="false">S24-S23</f>
        <v>-329014</v>
      </c>
      <c r="U24" s="8" t="n">
        <f aca="false">T24-T23</f>
        <v>-823906</v>
      </c>
      <c r="V24" s="8" t="n">
        <f aca="false">U24-U23</f>
        <v>-1759371</v>
      </c>
      <c r="W24" s="8" t="n">
        <f aca="false">V24-V23</f>
        <v>-3418700</v>
      </c>
      <c r="X24" s="8" t="n">
        <f aca="false">W24-W23</f>
        <v>-6203978</v>
      </c>
    </row>
    <row r="25" customFormat="false" ht="15" hidden="false" customHeight="false" outlineLevel="0" collapsed="false">
      <c r="A25" s="9" t="n">
        <v>24</v>
      </c>
      <c r="B25" s="12" t="n">
        <f aca="false">Counts!B25</f>
        <v>513708</v>
      </c>
      <c r="C25" s="8" t="n">
        <f aca="false">B25-B24</f>
        <v>245492</v>
      </c>
      <c r="D25" s="8" t="n">
        <f aca="false">C25-C24</f>
        <v>117612</v>
      </c>
      <c r="E25" s="8" t="n">
        <f aca="false">D25-D24</f>
        <v>56482</v>
      </c>
      <c r="F25" s="8" t="n">
        <f aca="false">E25-E24</f>
        <v>27151</v>
      </c>
      <c r="G25" s="8" t="n">
        <f aca="false">F25-F24</f>
        <v>12913</v>
      </c>
      <c r="H25" s="8" t="n">
        <f aca="false">G25-G24</f>
        <v>5666</v>
      </c>
      <c r="I25" s="8" t="n">
        <f aca="false">H25-H24</f>
        <v>1311</v>
      </c>
      <c r="J25" s="8" t="n">
        <f aca="false">I25-I24</f>
        <v>-2488</v>
      </c>
      <c r="K25" s="8" t="n">
        <f aca="false">J25-J24</f>
        <v>-7444</v>
      </c>
      <c r="L25" s="8" t="n">
        <f aca="false">K25-K24</f>
        <v>-15270</v>
      </c>
      <c r="M25" s="8" t="n">
        <f aca="false">L25-L24</f>
        <v>-28022</v>
      </c>
      <c r="N25" s="8" t="n">
        <f aca="false">M25-M24</f>
        <v>-48186</v>
      </c>
      <c r="O25" s="8" t="n">
        <f aca="false">N25-N24</f>
        <v>-78345</v>
      </c>
      <c r="P25" s="8" t="n">
        <f aca="false">O25-O24</f>
        <v>-120026</v>
      </c>
      <c r="Q25" s="8" t="n">
        <f aca="false">P25-P24</f>
        <v>-170979</v>
      </c>
      <c r="R25" s="8" t="n">
        <f aca="false">Q25-Q24</f>
        <v>-219617</v>
      </c>
      <c r="S25" s="8" t="n">
        <f aca="false">R25-R24</f>
        <v>-234594</v>
      </c>
      <c r="T25" s="8" t="n">
        <f aca="false">S25-S24</f>
        <v>-146500</v>
      </c>
      <c r="U25" s="8" t="n">
        <f aca="false">T25-T24</f>
        <v>182514</v>
      </c>
      <c r="V25" s="8" t="n">
        <f aca="false">U25-U24</f>
        <v>1006420</v>
      </c>
      <c r="W25" s="8" t="n">
        <f aca="false">V25-V24</f>
        <v>2765791</v>
      </c>
      <c r="X25" s="8" t="n">
        <f aca="false">W25-W24</f>
        <v>6184491</v>
      </c>
      <c r="Y25" s="8" t="n">
        <f aca="false">X25-X24</f>
        <v>12388469</v>
      </c>
    </row>
    <row r="26" customFormat="false" ht="15" hidden="false" customHeight="false" outlineLevel="0" collapsed="false">
      <c r="A26" s="9" t="n">
        <v>25</v>
      </c>
      <c r="B26" s="12" t="n">
        <f aca="false">Counts!B26</f>
        <v>985818</v>
      </c>
      <c r="C26" s="8" t="n">
        <f aca="false">B26-B25</f>
        <v>472110</v>
      </c>
      <c r="D26" s="8" t="n">
        <f aca="false">C26-C25</f>
        <v>226618</v>
      </c>
      <c r="E26" s="8" t="n">
        <f aca="false">D26-D25</f>
        <v>109006</v>
      </c>
      <c r="F26" s="8" t="n">
        <f aca="false">E26-E25</f>
        <v>52524</v>
      </c>
      <c r="G26" s="8" t="n">
        <f aca="false">F26-F25</f>
        <v>25373</v>
      </c>
      <c r="H26" s="8" t="n">
        <f aca="false">G26-G25</f>
        <v>12460</v>
      </c>
      <c r="I26" s="8" t="n">
        <f aca="false">H26-H25</f>
        <v>6794</v>
      </c>
      <c r="J26" s="8" t="n">
        <f aca="false">I26-I25</f>
        <v>5483</v>
      </c>
      <c r="K26" s="8" t="n">
        <f aca="false">J26-J25</f>
        <v>7971</v>
      </c>
      <c r="L26" s="8" t="n">
        <f aca="false">K26-K25</f>
        <v>15415</v>
      </c>
      <c r="M26" s="8" t="n">
        <f aca="false">L26-L25</f>
        <v>30685</v>
      </c>
      <c r="N26" s="8" t="n">
        <f aca="false">M26-M25</f>
        <v>58707</v>
      </c>
      <c r="O26" s="8" t="n">
        <f aca="false">N26-N25</f>
        <v>106893</v>
      </c>
      <c r="P26" s="8" t="n">
        <f aca="false">O26-O25</f>
        <v>185238</v>
      </c>
      <c r="Q26" s="8" t="n">
        <f aca="false">P26-P25</f>
        <v>305264</v>
      </c>
      <c r="R26" s="8" t="n">
        <f aca="false">Q26-Q25</f>
        <v>476243</v>
      </c>
      <c r="S26" s="8" t="n">
        <f aca="false">R26-R25</f>
        <v>695860</v>
      </c>
      <c r="T26" s="8" t="n">
        <f aca="false">S26-S25</f>
        <v>930454</v>
      </c>
      <c r="U26" s="8" t="n">
        <f aca="false">T26-T25</f>
        <v>1076954</v>
      </c>
      <c r="V26" s="8" t="n">
        <f aca="false">U26-U25</f>
        <v>894440</v>
      </c>
      <c r="W26" s="8" t="n">
        <f aca="false">V26-V25</f>
        <v>-111980</v>
      </c>
      <c r="X26" s="8" t="n">
        <f aca="false">W26-W25</f>
        <v>-2877771</v>
      </c>
      <c r="Y26" s="8" t="n">
        <f aca="false">X26-X25</f>
        <v>-9062262</v>
      </c>
      <c r="Z26" s="8" t="n">
        <f aca="false">Y26-Y25</f>
        <v>-21450731</v>
      </c>
    </row>
    <row r="27" customFormat="false" ht="15" hidden="false" customHeight="false" outlineLevel="0" collapsed="false">
      <c r="A27" s="9" t="n">
        <v>26</v>
      </c>
      <c r="B27" s="12" t="n">
        <f aca="false">Counts!B27</f>
        <v>1894120</v>
      </c>
      <c r="C27" s="8" t="n">
        <f aca="false">B27-B26</f>
        <v>908302</v>
      </c>
      <c r="D27" s="8" t="n">
        <f aca="false">C27-C26</f>
        <v>436192</v>
      </c>
      <c r="E27" s="8" t="n">
        <f aca="false">D27-D26</f>
        <v>209574</v>
      </c>
      <c r="F27" s="8" t="n">
        <f aca="false">E27-E26</f>
        <v>100568</v>
      </c>
      <c r="G27" s="8" t="n">
        <f aca="false">F27-F26</f>
        <v>48044</v>
      </c>
      <c r="H27" s="8" t="n">
        <f aca="false">G27-G26</f>
        <v>22671</v>
      </c>
      <c r="I27" s="8" t="n">
        <f aca="false">H27-H26</f>
        <v>10211</v>
      </c>
      <c r="J27" s="8" t="n">
        <f aca="false">I27-I26</f>
        <v>3417</v>
      </c>
      <c r="K27" s="8" t="n">
        <f aca="false">J27-J26</f>
        <v>-2066</v>
      </c>
      <c r="L27" s="8" t="n">
        <f aca="false">K27-K26</f>
        <v>-10037</v>
      </c>
      <c r="M27" s="8" t="n">
        <f aca="false">L27-L26</f>
        <v>-25452</v>
      </c>
      <c r="N27" s="8" t="n">
        <f aca="false">M27-M26</f>
        <v>-56137</v>
      </c>
      <c r="O27" s="8" t="n">
        <f aca="false">N27-N26</f>
        <v>-114844</v>
      </c>
      <c r="P27" s="8" t="n">
        <f aca="false">O27-O26</f>
        <v>-221737</v>
      </c>
      <c r="Q27" s="8" t="n">
        <f aca="false">P27-P26</f>
        <v>-406975</v>
      </c>
      <c r="R27" s="8" t="n">
        <f aca="false">Q27-Q26</f>
        <v>-712239</v>
      </c>
      <c r="S27" s="8" t="n">
        <f aca="false">R27-R26</f>
        <v>-1188482</v>
      </c>
      <c r="T27" s="8" t="n">
        <f aca="false">S27-S26</f>
        <v>-1884342</v>
      </c>
      <c r="U27" s="8" t="n">
        <f aca="false">T27-T26</f>
        <v>-2814796</v>
      </c>
      <c r="V27" s="8" t="n">
        <f aca="false">U27-U26</f>
        <v>-3891750</v>
      </c>
      <c r="W27" s="8" t="n">
        <f aca="false">V27-V26</f>
        <v>-4786190</v>
      </c>
      <c r="X27" s="8" t="n">
        <f aca="false">W27-W26</f>
        <v>-4674210</v>
      </c>
      <c r="Y27" s="8" t="n">
        <f aca="false">X27-X26</f>
        <v>-1796439</v>
      </c>
      <c r="Z27" s="8" t="n">
        <f aca="false">Y27-Y26</f>
        <v>7265823</v>
      </c>
      <c r="AA27" s="8" t="n">
        <f aca="false">Z27-Z26</f>
        <v>28716554</v>
      </c>
    </row>
    <row r="28" customFormat="false" ht="15" hidden="false" customHeight="false" outlineLevel="0" collapsed="false">
      <c r="A28" s="9" t="n">
        <v>27</v>
      </c>
      <c r="B28" s="12" t="n">
        <f aca="false">Counts!B28</f>
        <v>3645744</v>
      </c>
      <c r="C28" s="8" t="n">
        <f aca="false">B28-B27</f>
        <v>1751624</v>
      </c>
      <c r="D28" s="8" t="n">
        <f aca="false">C28-C27</f>
        <v>843322</v>
      </c>
      <c r="E28" s="8" t="n">
        <f aca="false">D28-D27</f>
        <v>407130</v>
      </c>
      <c r="F28" s="8" t="n">
        <f aca="false">E28-E27</f>
        <v>197556</v>
      </c>
      <c r="G28" s="8" t="n">
        <f aca="false">F28-F27</f>
        <v>96988</v>
      </c>
      <c r="H28" s="8" t="n">
        <f aca="false">G28-G27</f>
        <v>48944</v>
      </c>
      <c r="I28" s="8" t="n">
        <f aca="false">H28-H27</f>
        <v>26273</v>
      </c>
      <c r="J28" s="8" t="n">
        <f aca="false">I28-I27</f>
        <v>16062</v>
      </c>
      <c r="K28" s="8" t="n">
        <f aca="false">J28-J27</f>
        <v>12645</v>
      </c>
      <c r="L28" s="8" t="n">
        <f aca="false">K28-K27</f>
        <v>14711</v>
      </c>
      <c r="M28" s="8" t="n">
        <f aca="false">L28-L27</f>
        <v>24748</v>
      </c>
      <c r="N28" s="8" t="n">
        <f aca="false">M28-M27</f>
        <v>50200</v>
      </c>
      <c r="O28" s="8" t="n">
        <f aca="false">N28-N27</f>
        <v>106337</v>
      </c>
      <c r="P28" s="8" t="n">
        <f aca="false">O28-O27</f>
        <v>221181</v>
      </c>
      <c r="Q28" s="8" t="n">
        <f aca="false">P28-P27</f>
        <v>442918</v>
      </c>
      <c r="R28" s="8" t="n">
        <f aca="false">Q28-Q27</f>
        <v>849893</v>
      </c>
      <c r="S28" s="8" t="n">
        <f aca="false">R28-R27</f>
        <v>1562132</v>
      </c>
      <c r="T28" s="8" t="n">
        <f aca="false">S28-S27</f>
        <v>2750614</v>
      </c>
      <c r="U28" s="8" t="n">
        <f aca="false">T28-T27</f>
        <v>4634956</v>
      </c>
      <c r="V28" s="8" t="n">
        <f aca="false">U28-U27</f>
        <v>7449752</v>
      </c>
      <c r="W28" s="8" t="n">
        <f aca="false">V28-V27</f>
        <v>11341502</v>
      </c>
      <c r="X28" s="8" t="n">
        <f aca="false">W28-W27</f>
        <v>16127692</v>
      </c>
      <c r="Y28" s="8" t="n">
        <f aca="false">X28-X27</f>
        <v>20801902</v>
      </c>
      <c r="Z28" s="8" t="n">
        <f aca="false">Y28-Y27</f>
        <v>22598341</v>
      </c>
      <c r="AA28" s="8" t="n">
        <f aca="false">Z28-Z27</f>
        <v>15332518</v>
      </c>
      <c r="AB28" s="8" t="n">
        <f aca="false">AA28-AA27</f>
        <v>-13384036</v>
      </c>
    </row>
    <row r="29" customFormat="false" ht="15" hidden="false" customHeight="false" outlineLevel="0" collapsed="false">
      <c r="A29" s="9" t="n">
        <v>28</v>
      </c>
      <c r="B29" s="12" t="n">
        <f aca="false">Counts!B29</f>
        <v>7027290</v>
      </c>
      <c r="C29" s="8" t="n">
        <f aca="false">B29-B28</f>
        <v>3381546</v>
      </c>
      <c r="D29" s="8" t="n">
        <f aca="false">C29-C28</f>
        <v>1629922</v>
      </c>
      <c r="E29" s="8" t="n">
        <f aca="false">D29-D28</f>
        <v>786600</v>
      </c>
      <c r="F29" s="8" t="n">
        <f aca="false">E29-E28</f>
        <v>379470</v>
      </c>
      <c r="G29" s="8" t="n">
        <f aca="false">F29-F28</f>
        <v>181914</v>
      </c>
      <c r="H29" s="8" t="n">
        <f aca="false">G29-G28</f>
        <v>84926</v>
      </c>
      <c r="I29" s="8" t="n">
        <f aca="false">H29-H28</f>
        <v>35982</v>
      </c>
      <c r="J29" s="8" t="n">
        <f aca="false">I29-I28</f>
        <v>9709</v>
      </c>
      <c r="K29" s="8" t="n">
        <f aca="false">J29-J28</f>
        <v>-6353</v>
      </c>
      <c r="L29" s="8" t="n">
        <f aca="false">K29-K28</f>
        <v>-18998</v>
      </c>
      <c r="M29" s="8" t="n">
        <f aca="false">L29-L28</f>
        <v>-33709</v>
      </c>
      <c r="N29" s="8" t="n">
        <f aca="false">M29-M28</f>
        <v>-58457</v>
      </c>
      <c r="O29" s="8" t="n">
        <f aca="false">N29-N28</f>
        <v>-108657</v>
      </c>
      <c r="P29" s="8" t="n">
        <f aca="false">O29-O28</f>
        <v>-214994</v>
      </c>
      <c r="Q29" s="8" t="n">
        <f aca="false">P29-P28</f>
        <v>-436175</v>
      </c>
      <c r="R29" s="8" t="n">
        <f aca="false">Q29-Q28</f>
        <v>-879093</v>
      </c>
      <c r="S29" s="8" t="n">
        <f aca="false">R29-R28</f>
        <v>-1728986</v>
      </c>
      <c r="T29" s="8" t="n">
        <f aca="false">S29-S28</f>
        <v>-3291118</v>
      </c>
      <c r="U29" s="8" t="n">
        <f aca="false">T29-T28</f>
        <v>-6041732</v>
      </c>
      <c r="V29" s="8" t="n">
        <f aca="false">U29-U28</f>
        <v>-10676688</v>
      </c>
      <c r="W29" s="8" t="n">
        <f aca="false">V29-V28</f>
        <v>-18126440</v>
      </c>
      <c r="X29" s="8" t="n">
        <f aca="false">W29-W28</f>
        <v>-29467942</v>
      </c>
      <c r="Y29" s="8" t="n">
        <f aca="false">X29-X28</f>
        <v>-45595634</v>
      </c>
      <c r="Z29" s="8" t="n">
        <f aca="false">Y29-Y28</f>
        <v>-66397536</v>
      </c>
      <c r="AA29" s="8" t="n">
        <f aca="false">Z29-Z28</f>
        <v>-88995877</v>
      </c>
      <c r="AB29" s="8" t="n">
        <f aca="false">AA29-AA28</f>
        <v>-104328395</v>
      </c>
      <c r="AC29" s="8" t="n">
        <f aca="false">AB29-AB28</f>
        <v>-90944359</v>
      </c>
    </row>
    <row r="30" customFormat="false" ht="15" hidden="false" customHeight="false" outlineLevel="0" collapsed="false">
      <c r="A30" s="9" t="n">
        <v>29</v>
      </c>
      <c r="B30" s="12" t="n">
        <f aca="false">Counts!B30</f>
        <v>13561907</v>
      </c>
      <c r="C30" s="8" t="n">
        <f aca="false">B30-B29</f>
        <v>6534617</v>
      </c>
      <c r="D30" s="8" t="n">
        <f aca="false">C30-C29</f>
        <v>3153071</v>
      </c>
      <c r="E30" s="8" t="n">
        <f aca="false">D30-D29</f>
        <v>1523149</v>
      </c>
      <c r="F30" s="8" t="n">
        <f aca="false">E30-E29</f>
        <v>736549</v>
      </c>
      <c r="G30" s="8" t="n">
        <f aca="false">F30-F29</f>
        <v>357079</v>
      </c>
      <c r="H30" s="8" t="n">
        <f aca="false">G30-G29</f>
        <v>175165</v>
      </c>
      <c r="I30" s="8" t="n">
        <f aca="false">H30-H29</f>
        <v>90239</v>
      </c>
      <c r="J30" s="8" t="n">
        <f aca="false">I30-I29</f>
        <v>54257</v>
      </c>
      <c r="K30" s="8" t="n">
        <f aca="false">J30-J29</f>
        <v>44548</v>
      </c>
      <c r="L30" s="8" t="n">
        <f aca="false">K30-K29</f>
        <v>50901</v>
      </c>
      <c r="M30" s="8" t="n">
        <f aca="false">L30-L29</f>
        <v>69899</v>
      </c>
      <c r="N30" s="8" t="n">
        <f aca="false">M30-M29</f>
        <v>103608</v>
      </c>
      <c r="O30" s="8" t="n">
        <f aca="false">N30-N29</f>
        <v>162065</v>
      </c>
      <c r="P30" s="8" t="n">
        <f aca="false">O30-O29</f>
        <v>270722</v>
      </c>
      <c r="Q30" s="8" t="n">
        <f aca="false">P30-P29</f>
        <v>485716</v>
      </c>
      <c r="R30" s="8" t="n">
        <f aca="false">Q30-Q29</f>
        <v>921891</v>
      </c>
      <c r="S30" s="8" t="n">
        <f aca="false">R30-R29</f>
        <v>1800984</v>
      </c>
      <c r="T30" s="8" t="n">
        <f aca="false">S30-S29</f>
        <v>3529970</v>
      </c>
      <c r="U30" s="8" t="n">
        <f aca="false">T30-T29</f>
        <v>6821088</v>
      </c>
      <c r="V30" s="8" t="n">
        <f aca="false">U30-U29</f>
        <v>12862820</v>
      </c>
      <c r="W30" s="8" t="n">
        <f aca="false">V30-V29</f>
        <v>23539508</v>
      </c>
      <c r="X30" s="8" t="n">
        <f aca="false">W30-W29</f>
        <v>41665948</v>
      </c>
      <c r="Y30" s="8" t="n">
        <f aca="false">X30-X29</f>
        <v>71133890</v>
      </c>
      <c r="Z30" s="8" t="n">
        <f aca="false">Y30-Y29</f>
        <v>116729524</v>
      </c>
      <c r="AA30" s="8" t="n">
        <f aca="false">Z30-Z29</f>
        <v>183127060</v>
      </c>
      <c r="AB30" s="8" t="n">
        <f aca="false">AA30-AA29</f>
        <v>272122937</v>
      </c>
      <c r="AC30" s="8" t="n">
        <f aca="false">AB30-AB29</f>
        <v>376451332</v>
      </c>
      <c r="AD30" s="8" t="n">
        <f aca="false">AC30-AC29</f>
        <v>467395691</v>
      </c>
    </row>
    <row r="31" customFormat="false" ht="15" hidden="false" customHeight="false" outlineLevel="0" collapsed="false">
      <c r="A31" s="9" t="n">
        <v>30</v>
      </c>
      <c r="B31" s="12" t="n">
        <f aca="false">Counts!B31</f>
        <v>26207278</v>
      </c>
      <c r="C31" s="8" t="n">
        <f aca="false">B31-B30</f>
        <v>12645371</v>
      </c>
      <c r="D31" s="8" t="n">
        <f aca="false">C31-C30</f>
        <v>6110754</v>
      </c>
      <c r="E31" s="8" t="n">
        <f aca="false">D31-D30</f>
        <v>2957683</v>
      </c>
      <c r="F31" s="8" t="n">
        <f aca="false">E31-E30</f>
        <v>1434534</v>
      </c>
      <c r="G31" s="8" t="n">
        <f aca="false">F31-F30</f>
        <v>697985</v>
      </c>
      <c r="H31" s="8" t="n">
        <f aca="false">G31-G30</f>
        <v>340906</v>
      </c>
      <c r="I31" s="8" t="n">
        <f aca="false">H31-H30</f>
        <v>165741</v>
      </c>
      <c r="J31" s="8" t="n">
        <f aca="false">I31-I30</f>
        <v>75502</v>
      </c>
      <c r="K31" s="8" t="n">
        <f aca="false">J31-J30</f>
        <v>21245</v>
      </c>
      <c r="L31" s="8" t="n">
        <f aca="false">K31-K30</f>
        <v>-23303</v>
      </c>
      <c r="M31" s="8" t="n">
        <f aca="false">L31-L30</f>
        <v>-74204</v>
      </c>
      <c r="N31" s="8" t="n">
        <f aca="false">M31-M30</f>
        <v>-144103</v>
      </c>
      <c r="O31" s="8" t="n">
        <f aca="false">N31-N30</f>
        <v>-247711</v>
      </c>
      <c r="P31" s="8" t="n">
        <f aca="false">O31-O30</f>
        <v>-409776</v>
      </c>
      <c r="Q31" s="8" t="n">
        <f aca="false">P31-P30</f>
        <v>-680498</v>
      </c>
      <c r="R31" s="8" t="n">
        <f aca="false">Q31-Q30</f>
        <v>-1166214</v>
      </c>
      <c r="S31" s="8" t="n">
        <f aca="false">R31-R30</f>
        <v>-2088105</v>
      </c>
      <c r="T31" s="8" t="n">
        <f aca="false">S31-S30</f>
        <v>-3889089</v>
      </c>
      <c r="U31" s="8" t="n">
        <f aca="false">T31-T30</f>
        <v>-7419059</v>
      </c>
      <c r="V31" s="8" t="n">
        <f aca="false">U31-U30</f>
        <v>-14240147</v>
      </c>
      <c r="W31" s="8" t="n">
        <f aca="false">V31-V30</f>
        <v>-27102967</v>
      </c>
      <c r="X31" s="8" t="n">
        <f aca="false">W31-W30</f>
        <v>-50642475</v>
      </c>
      <c r="Y31" s="8" t="n">
        <f aca="false">X31-X30</f>
        <v>-92308423</v>
      </c>
      <c r="Z31" s="8" t="n">
        <f aca="false">Y31-Y30</f>
        <v>-163442313</v>
      </c>
      <c r="AA31" s="8" t="n">
        <f aca="false">Z31-Z30</f>
        <v>-280171837</v>
      </c>
      <c r="AB31" s="8" t="n">
        <f aca="false">AA31-AA30</f>
        <v>-463298897</v>
      </c>
      <c r="AC31" s="8" t="n">
        <f aca="false">AB31-AB30</f>
        <v>-735421834</v>
      </c>
      <c r="AD31" s="8" t="n">
        <f aca="false">AC31-AC30</f>
        <v>-1111873166</v>
      </c>
      <c r="AE31" s="8" t="n">
        <f aca="false">AD31-AD30</f>
        <v>-1579268857</v>
      </c>
    </row>
    <row r="32" customFormat="false" ht="15" hidden="false" customHeight="false" outlineLevel="0" collapsed="false">
      <c r="A32" s="9" t="n">
        <v>31</v>
      </c>
      <c r="B32" s="12" t="n">
        <f aca="false">Counts!B32</f>
        <v>50697537</v>
      </c>
      <c r="C32" s="8" t="n">
        <f aca="false">B32-B31</f>
        <v>24490259</v>
      </c>
      <c r="D32" s="8" t="n">
        <f aca="false">C32-C31</f>
        <v>11844888</v>
      </c>
      <c r="E32" s="8" t="n">
        <f aca="false">D32-D31</f>
        <v>5734134</v>
      </c>
      <c r="F32" s="8" t="n">
        <f aca="false">E32-E31</f>
        <v>2776451</v>
      </c>
      <c r="G32" s="8" t="n">
        <f aca="false">F32-F31</f>
        <v>1341917</v>
      </c>
      <c r="H32" s="8" t="n">
        <f aca="false">G32-G31</f>
        <v>643932</v>
      </c>
      <c r="I32" s="8" t="n">
        <f aca="false">H32-H31</f>
        <v>303026</v>
      </c>
      <c r="J32" s="8" t="n">
        <f aca="false">I32-I31</f>
        <v>137285</v>
      </c>
      <c r="K32" s="8" t="n">
        <f aca="false">J32-J31</f>
        <v>61783</v>
      </c>
      <c r="L32" s="8" t="n">
        <f aca="false">K32-K31</f>
        <v>40538</v>
      </c>
      <c r="M32" s="8" t="n">
        <f aca="false">L32-L31</f>
        <v>63841</v>
      </c>
      <c r="N32" s="8" t="n">
        <f aca="false">M32-M31</f>
        <v>138045</v>
      </c>
      <c r="O32" s="8" t="n">
        <f aca="false">N32-N31</f>
        <v>282148</v>
      </c>
      <c r="P32" s="8" t="n">
        <f aca="false">O32-O31</f>
        <v>529859</v>
      </c>
      <c r="Q32" s="8" t="n">
        <f aca="false">P32-P31</f>
        <v>939635</v>
      </c>
      <c r="R32" s="8" t="n">
        <f aca="false">Q32-Q31</f>
        <v>1620133</v>
      </c>
      <c r="S32" s="8" t="n">
        <f aca="false">R32-R31</f>
        <v>2786347</v>
      </c>
      <c r="T32" s="8" t="n">
        <f aca="false">S32-S31</f>
        <v>4874452</v>
      </c>
      <c r="U32" s="8" t="n">
        <f aca="false">T32-T31</f>
        <v>8763541</v>
      </c>
      <c r="V32" s="8" t="n">
        <f aca="false">U32-U31</f>
        <v>16182600</v>
      </c>
      <c r="W32" s="8" t="n">
        <f aca="false">V32-V31</f>
        <v>30422747</v>
      </c>
      <c r="X32" s="8" t="n">
        <f aca="false">W32-W31</f>
        <v>57525714</v>
      </c>
      <c r="Y32" s="8" t="n">
        <f aca="false">X32-X31</f>
        <v>108168189</v>
      </c>
      <c r="Z32" s="8" t="n">
        <f aca="false">Y32-Y31</f>
        <v>200476612</v>
      </c>
      <c r="AA32" s="8" t="n">
        <f aca="false">Z32-Z31</f>
        <v>363918925</v>
      </c>
      <c r="AB32" s="8" t="n">
        <f aca="false">AA32-AA31</f>
        <v>644090762</v>
      </c>
      <c r="AC32" s="8" t="n">
        <f aca="false">AB32-AB31</f>
        <v>1107389659</v>
      </c>
      <c r="AD32" s="8" t="n">
        <f aca="false">AC32-AC31</f>
        <v>1842811493</v>
      </c>
      <c r="AE32" s="8" t="n">
        <f aca="false">AD32-AD31</f>
        <v>2954684659</v>
      </c>
      <c r="AF32" s="8" t="n">
        <f aca="false">AE32-AE31</f>
        <v>4533953516</v>
      </c>
    </row>
    <row r="33" customFormat="false" ht="15" hidden="false" customHeight="false" outlineLevel="0" collapsed="false">
      <c r="A33" s="9" t="n">
        <v>32</v>
      </c>
      <c r="B33" s="12" t="n">
        <f aca="false">Counts!B33</f>
        <v>98182656</v>
      </c>
      <c r="C33" s="8" t="n">
        <f aca="false">B33-B32</f>
        <v>47485119</v>
      </c>
      <c r="D33" s="8" t="n">
        <f aca="false">C33-C32</f>
        <v>22994860</v>
      </c>
      <c r="E33" s="8" t="n">
        <f aca="false">D33-D32</f>
        <v>11149972</v>
      </c>
      <c r="F33" s="8" t="n">
        <f aca="false">E33-E32</f>
        <v>5415838</v>
      </c>
      <c r="G33" s="8" t="n">
        <f aca="false">F33-F32</f>
        <v>2639387</v>
      </c>
      <c r="H33" s="8" t="n">
        <f aca="false">G33-G32</f>
        <v>1297470</v>
      </c>
      <c r="I33" s="8" t="n">
        <f aca="false">H33-H32</f>
        <v>653538</v>
      </c>
      <c r="J33" s="8" t="n">
        <f aca="false">I33-I32</f>
        <v>350512</v>
      </c>
      <c r="K33" s="8" t="n">
        <f aca="false">J33-J32</f>
        <v>213227</v>
      </c>
      <c r="L33" s="8" t="n">
        <f aca="false">K33-K32</f>
        <v>151444</v>
      </c>
      <c r="M33" s="8" t="n">
        <f aca="false">L33-L32</f>
        <v>110906</v>
      </c>
      <c r="N33" s="8" t="n">
        <f aca="false">M33-M32</f>
        <v>47065</v>
      </c>
      <c r="O33" s="8" t="n">
        <f aca="false">N33-N32</f>
        <v>-90980</v>
      </c>
      <c r="P33" s="8" t="n">
        <f aca="false">O33-O32</f>
        <v>-373128</v>
      </c>
      <c r="Q33" s="8" t="n">
        <f aca="false">P33-P32</f>
        <v>-902987</v>
      </c>
      <c r="R33" s="8" t="n">
        <f aca="false">Q33-Q32</f>
        <v>-1842622</v>
      </c>
      <c r="S33" s="8" t="n">
        <f aca="false">R33-R32</f>
        <v>-3462755</v>
      </c>
      <c r="T33" s="8" t="n">
        <f aca="false">S33-S32</f>
        <v>-6249102</v>
      </c>
      <c r="U33" s="8" t="n">
        <f aca="false">T33-T32</f>
        <v>-11123554</v>
      </c>
      <c r="V33" s="8" t="n">
        <f aca="false">U33-U32</f>
        <v>-19887095</v>
      </c>
      <c r="W33" s="8" t="n">
        <f aca="false">V33-V32</f>
        <v>-36069695</v>
      </c>
      <c r="X33" s="8" t="n">
        <f aca="false">W33-W32</f>
        <v>-66492442</v>
      </c>
      <c r="Y33" s="8" t="n">
        <f aca="false">X33-X32</f>
        <v>-124018156</v>
      </c>
      <c r="Z33" s="8" t="n">
        <f aca="false">Y33-Y32</f>
        <v>-232186345</v>
      </c>
      <c r="AA33" s="8" t="n">
        <f aca="false">Z33-Z32</f>
        <v>-432662957</v>
      </c>
      <c r="AB33" s="8" t="n">
        <f aca="false">AA33-AA32</f>
        <v>-796581882</v>
      </c>
      <c r="AC33" s="8" t="n">
        <f aca="false">AB33-AB32</f>
        <v>-1440672644</v>
      </c>
      <c r="AD33" s="8" t="n">
        <f aca="false">AC33-AC32</f>
        <v>-2548062303</v>
      </c>
      <c r="AE33" s="8" t="n">
        <f aca="false">AD33-AD32</f>
        <v>-4390873796</v>
      </c>
      <c r="AF33" s="8" t="n">
        <f aca="false">AE33-AE32</f>
        <v>-7345558455</v>
      </c>
    </row>
    <row r="34" customFormat="false" ht="15" hidden="false" customHeight="false" outlineLevel="0" collapsed="false">
      <c r="A34" s="9" t="n">
        <v>33</v>
      </c>
      <c r="B34" s="12" t="n">
        <f aca="false">Counts!B34</f>
        <v>190335585</v>
      </c>
      <c r="C34" s="8" t="n">
        <f aca="false">B34-B33</f>
        <v>92152929</v>
      </c>
      <c r="D34" s="8" t="n">
        <f aca="false">C34-C33</f>
        <v>44667810</v>
      </c>
      <c r="E34" s="8" t="n">
        <f aca="false">D34-D33</f>
        <v>21672950</v>
      </c>
      <c r="F34" s="8" t="n">
        <f aca="false">E34-E33</f>
        <v>10522978</v>
      </c>
      <c r="G34" s="8" t="n">
        <f aca="false">F34-F33</f>
        <v>5107140</v>
      </c>
      <c r="H34" s="8" t="n">
        <f aca="false">G34-G33</f>
        <v>2467753</v>
      </c>
      <c r="I34" s="8" t="n">
        <f aca="false">H34-H33</f>
        <v>1170283</v>
      </c>
      <c r="J34" s="8" t="n">
        <f aca="false">I34-I33</f>
        <v>516745</v>
      </c>
      <c r="K34" s="8" t="n">
        <f aca="false">J34-J33</f>
        <v>166233</v>
      </c>
      <c r="L34" s="8" t="n">
        <f aca="false">K34-K33</f>
        <v>-46994</v>
      </c>
      <c r="M34" s="8" t="n">
        <f aca="false">L34-L33</f>
        <v>-198438</v>
      </c>
      <c r="N34" s="8" t="n">
        <f aca="false">M34-M33</f>
        <v>-309344</v>
      </c>
      <c r="O34" s="8" t="n">
        <f aca="false">N34-N33</f>
        <v>-356409</v>
      </c>
      <c r="P34" s="8" t="n">
        <f aca="false">O34-O33</f>
        <v>-265429</v>
      </c>
      <c r="Q34" s="8" t="n">
        <f aca="false">P34-P33</f>
        <v>107699</v>
      </c>
      <c r="R34" s="8" t="n">
        <f aca="false">Q34-Q33</f>
        <v>1010686</v>
      </c>
      <c r="S34" s="8" t="n">
        <f aca="false">R34-R33</f>
        <v>2853308</v>
      </c>
      <c r="T34" s="8" t="n">
        <f aca="false">S34-S33</f>
        <v>6316063</v>
      </c>
      <c r="U34" s="8" t="n">
        <f aca="false">T34-T33</f>
        <v>12565165</v>
      </c>
      <c r="V34" s="8" t="n">
        <f aca="false">U34-U33</f>
        <v>23688719</v>
      </c>
      <c r="W34" s="8" t="n">
        <f aca="false">V34-V33</f>
        <v>43575814</v>
      </c>
      <c r="X34" s="8" t="n">
        <f aca="false">W34-W33</f>
        <v>79645509</v>
      </c>
      <c r="Y34" s="8" t="n">
        <f aca="false">X34-X33</f>
        <v>146137951</v>
      </c>
      <c r="Z34" s="8" t="n">
        <f aca="false">Y34-Y33</f>
        <v>270156107</v>
      </c>
      <c r="AA34" s="8" t="n">
        <f aca="false">Z34-Z33</f>
        <v>502342452</v>
      </c>
      <c r="AB34" s="8" t="n">
        <f aca="false">AA34-AA33</f>
        <v>935005409</v>
      </c>
      <c r="AC34" s="8" t="n">
        <f aca="false">AB34-AB33</f>
        <v>1731587291</v>
      </c>
      <c r="AD34" s="8" t="n">
        <f aca="false">AC34-AC33</f>
        <v>3172259935</v>
      </c>
      <c r="AE34" s="8" t="n">
        <f aca="false">AD34-AD33</f>
        <v>5720322238</v>
      </c>
      <c r="AF34" s="8" t="n">
        <f aca="false">AE34-AE33</f>
        <v>10111196034</v>
      </c>
    </row>
    <row r="35" customFormat="false" ht="15" hidden="false" customHeight="false" outlineLevel="0" collapsed="false">
      <c r="A35" s="9" t="n">
        <v>34</v>
      </c>
      <c r="B35" s="12" t="n">
        <f aca="false">Counts!B35</f>
        <v>369323305</v>
      </c>
      <c r="C35" s="8" t="n">
        <f aca="false">B35-B34</f>
        <v>178987720</v>
      </c>
      <c r="D35" s="8" t="n">
        <f aca="false">C35-C34</f>
        <v>86834791</v>
      </c>
      <c r="E35" s="8" t="n">
        <f aca="false">D35-D34</f>
        <v>42166981</v>
      </c>
      <c r="F35" s="8" t="n">
        <f aca="false">E35-E34</f>
        <v>20494031</v>
      </c>
      <c r="G35" s="8" t="n">
        <f aca="false">F35-F34</f>
        <v>9971053</v>
      </c>
      <c r="H35" s="8" t="n">
        <f aca="false">G35-G34</f>
        <v>4863913</v>
      </c>
      <c r="I35" s="8" t="n">
        <f aca="false">H35-H34</f>
        <v>2396160</v>
      </c>
      <c r="J35" s="8" t="n">
        <f aca="false">I35-I34</f>
        <v>1225877</v>
      </c>
      <c r="K35" s="8" t="n">
        <f aca="false">J35-J34</f>
        <v>709132</v>
      </c>
      <c r="L35" s="8" t="n">
        <f aca="false">K35-K34</f>
        <v>542899</v>
      </c>
      <c r="M35" s="8" t="n">
        <f aca="false">L35-L34</f>
        <v>589893</v>
      </c>
      <c r="N35" s="8" t="n">
        <f aca="false">M35-M34</f>
        <v>788331</v>
      </c>
      <c r="O35" s="8" t="n">
        <f aca="false">N35-N34</f>
        <v>1097675</v>
      </c>
      <c r="P35" s="8" t="n">
        <f aca="false">O35-O34</f>
        <v>1454084</v>
      </c>
      <c r="Q35" s="8" t="n">
        <f aca="false">P35-P34</f>
        <v>1719513</v>
      </c>
      <c r="R35" s="8" t="n">
        <f aca="false">Q35-Q34</f>
        <v>1611814</v>
      </c>
      <c r="S35" s="8" t="n">
        <f aca="false">R35-R34</f>
        <v>601128</v>
      </c>
      <c r="T35" s="8" t="n">
        <f aca="false">S35-S34</f>
        <v>-2252180</v>
      </c>
      <c r="U35" s="8" t="n">
        <f aca="false">T35-T34</f>
        <v>-8568243</v>
      </c>
      <c r="V35" s="8" t="n">
        <f aca="false">U35-U34</f>
        <v>-21133408</v>
      </c>
      <c r="W35" s="8" t="n">
        <f aca="false">V35-V34</f>
        <v>-44822127</v>
      </c>
      <c r="X35" s="8" t="n">
        <f aca="false">W35-W34</f>
        <v>-88397941</v>
      </c>
      <c r="Y35" s="8" t="n">
        <f aca="false">X35-X34</f>
        <v>-168043450</v>
      </c>
      <c r="Z35" s="8" t="n">
        <f aca="false">Y35-Y34</f>
        <v>-314181401</v>
      </c>
      <c r="AA35" s="8" t="n">
        <f aca="false">Z35-Z34</f>
        <v>-584337508</v>
      </c>
      <c r="AB35" s="8" t="n">
        <f aca="false">AA35-AA34</f>
        <v>-1086679960</v>
      </c>
      <c r="AC35" s="8" t="n">
        <f aca="false">AB35-AB34</f>
        <v>-2021685369</v>
      </c>
      <c r="AD35" s="8" t="n">
        <f aca="false">AC35-AC34</f>
        <v>-3753272660</v>
      </c>
      <c r="AE35" s="8" t="n">
        <f aca="false">AD35-AD34</f>
        <v>-6925532595</v>
      </c>
      <c r="AF35" s="8" t="n">
        <f aca="false">AE35-AE34</f>
        <v>-12645854833</v>
      </c>
    </row>
    <row r="36" customFormat="false" ht="15" hidden="false" customHeight="false" outlineLevel="0" collapsed="false">
      <c r="A36" s="9" t="n">
        <v>35</v>
      </c>
      <c r="B36" s="12" t="n">
        <f aca="false">Counts!B36</f>
        <v>717267168</v>
      </c>
      <c r="C36" s="8" t="n">
        <f aca="false">B36-B35</f>
        <v>347943863</v>
      </c>
      <c r="D36" s="8" t="n">
        <f aca="false">C36-C35</f>
        <v>168956143</v>
      </c>
      <c r="E36" s="8" t="n">
        <f aca="false">D36-D35</f>
        <v>82121352</v>
      </c>
      <c r="F36" s="8" t="n">
        <f aca="false">E36-E35</f>
        <v>39954371</v>
      </c>
      <c r="G36" s="8" t="n">
        <f aca="false">F36-F35</f>
        <v>19460340</v>
      </c>
      <c r="H36" s="8" t="n">
        <f aca="false">G36-G35</f>
        <v>9489287</v>
      </c>
      <c r="I36" s="8" t="n">
        <f aca="false">H36-H35</f>
        <v>4625374</v>
      </c>
      <c r="J36" s="8" t="n">
        <f aca="false">I36-I35</f>
        <v>2229214</v>
      </c>
      <c r="K36" s="8" t="n">
        <f aca="false">J36-J35</f>
        <v>1003337</v>
      </c>
      <c r="L36" s="8" t="n">
        <f aca="false">K36-K35</f>
        <v>294205</v>
      </c>
      <c r="M36" s="8" t="n">
        <f aca="false">L36-L35</f>
        <v>-248694</v>
      </c>
      <c r="N36" s="8" t="n">
        <f aca="false">M36-M35</f>
        <v>-838587</v>
      </c>
      <c r="O36" s="8" t="n">
        <f aca="false">N36-N35</f>
        <v>-1626918</v>
      </c>
      <c r="P36" s="8" t="n">
        <f aca="false">O36-O35</f>
        <v>-2724593</v>
      </c>
      <c r="Q36" s="8" t="n">
        <f aca="false">P36-P35</f>
        <v>-4178677</v>
      </c>
      <c r="R36" s="8" t="n">
        <f aca="false">Q36-Q35</f>
        <v>-5898190</v>
      </c>
      <c r="S36" s="8" t="n">
        <f aca="false">R36-R35</f>
        <v>-7510004</v>
      </c>
      <c r="T36" s="8" t="n">
        <f aca="false">S36-S35</f>
        <v>-8111132</v>
      </c>
      <c r="U36" s="8" t="n">
        <f aca="false">T36-T35</f>
        <v>-5858952</v>
      </c>
      <c r="V36" s="8" t="n">
        <f aca="false">U36-U35</f>
        <v>2709291</v>
      </c>
      <c r="W36" s="8" t="n">
        <f aca="false">V36-V35</f>
        <v>23842699</v>
      </c>
      <c r="X36" s="8" t="n">
        <f aca="false">W36-W35</f>
        <v>68664826</v>
      </c>
      <c r="Y36" s="8" t="n">
        <f aca="false">X36-X35</f>
        <v>157062767</v>
      </c>
      <c r="Z36" s="8" t="n">
        <f aca="false">Y36-Y35</f>
        <v>325106217</v>
      </c>
      <c r="AA36" s="8" t="n">
        <f aca="false">Z36-Z35</f>
        <v>639287618</v>
      </c>
      <c r="AB36" s="8" t="n">
        <f aca="false">AA36-AA35</f>
        <v>1223625126</v>
      </c>
      <c r="AC36" s="8" t="n">
        <f aca="false">AB36-AB35</f>
        <v>2310305086</v>
      </c>
      <c r="AD36" s="8" t="n">
        <f aca="false">AC36-AC35</f>
        <v>4331990455</v>
      </c>
      <c r="AE36" s="8" t="n">
        <f aca="false">AD36-AD35</f>
        <v>8085263115</v>
      </c>
      <c r="AF36" s="8" t="n">
        <f aca="false">AE36-AE35</f>
        <v>15010795710</v>
      </c>
    </row>
    <row r="37" customFormat="false" ht="15" hidden="false" customHeight="false" outlineLevel="0" collapsed="false">
      <c r="A37" s="9" t="n">
        <v>36</v>
      </c>
      <c r="B37" s="12" t="n">
        <f aca="false">Counts!B37</f>
        <v>1394192236</v>
      </c>
      <c r="C37" s="8" t="n">
        <f aca="false">B37-B36</f>
        <v>676925068</v>
      </c>
      <c r="D37" s="8" t="n">
        <f aca="false">C37-C36</f>
        <v>328981205</v>
      </c>
      <c r="E37" s="8" t="n">
        <f aca="false">D37-D36</f>
        <v>160025062</v>
      </c>
      <c r="F37" s="8" t="n">
        <f aca="false">E37-E36</f>
        <v>77903710</v>
      </c>
      <c r="G37" s="8" t="n">
        <f aca="false">F37-F36</f>
        <v>37949339</v>
      </c>
      <c r="H37" s="8" t="n">
        <f aca="false">G37-G36</f>
        <v>18488999</v>
      </c>
      <c r="I37" s="8" t="n">
        <f aca="false">H37-H36</f>
        <v>8999712</v>
      </c>
      <c r="J37" s="8" t="n">
        <f aca="false">I37-I36</f>
        <v>4374338</v>
      </c>
      <c r="K37" s="8" t="n">
        <f aca="false">J37-J36</f>
        <v>2145124</v>
      </c>
      <c r="L37" s="8" t="n">
        <f aca="false">K37-K36</f>
        <v>1141787</v>
      </c>
      <c r="M37" s="8" t="n">
        <f aca="false">L37-L36</f>
        <v>847582</v>
      </c>
      <c r="N37" s="8" t="n">
        <f aca="false">M37-M36</f>
        <v>1096276</v>
      </c>
      <c r="O37" s="8" t="n">
        <f aca="false">N37-N36</f>
        <v>1934863</v>
      </c>
      <c r="P37" s="8" t="n">
        <f aca="false">O37-O36</f>
        <v>3561781</v>
      </c>
      <c r="Q37" s="8" t="n">
        <f aca="false">P37-P36</f>
        <v>6286374</v>
      </c>
      <c r="R37" s="8" t="n">
        <f aca="false">Q37-Q36</f>
        <v>10465051</v>
      </c>
      <c r="S37" s="8" t="n">
        <f aca="false">R37-R36</f>
        <v>16363241</v>
      </c>
      <c r="T37" s="8" t="n">
        <f aca="false">S37-S36</f>
        <v>23873245</v>
      </c>
      <c r="U37" s="8" t="n">
        <f aca="false">T37-T36</f>
        <v>31984377</v>
      </c>
      <c r="V37" s="8" t="n">
        <f aca="false">U37-U36</f>
        <v>37843329</v>
      </c>
      <c r="W37" s="8" t="n">
        <f aca="false">V37-V36</f>
        <v>35134038</v>
      </c>
      <c r="X37" s="8" t="n">
        <f aca="false">W37-W36</f>
        <v>11291339</v>
      </c>
      <c r="Y37" s="8" t="n">
        <f aca="false">X37-X36</f>
        <v>-57373487</v>
      </c>
      <c r="Z37" s="8" t="n">
        <f aca="false">Y37-Y36</f>
        <v>-214436254</v>
      </c>
      <c r="AA37" s="8" t="n">
        <f aca="false">Z37-Z36</f>
        <v>-539542471</v>
      </c>
      <c r="AB37" s="8" t="n">
        <f aca="false">AA37-AA36</f>
        <v>-1178830089</v>
      </c>
      <c r="AC37" s="8" t="n">
        <f aca="false">AB37-AB36</f>
        <v>-2402455215</v>
      </c>
      <c r="AD37" s="8" t="n">
        <f aca="false">AC37-AC36</f>
        <v>-4712760301</v>
      </c>
      <c r="AE37" s="8" t="n">
        <f aca="false">AD37-AD36</f>
        <v>-9044750756</v>
      </c>
      <c r="AF37" s="8" t="n">
        <f aca="false">AE37-AE36</f>
        <v>-17130013871</v>
      </c>
    </row>
    <row r="38" customFormat="false" ht="15" hidden="false" customHeight="false" outlineLevel="0" collapsed="false">
      <c r="A38" s="9" t="n">
        <v>37</v>
      </c>
      <c r="B38" s="12" t="n">
        <f aca="false">Counts!B38</f>
        <v>2712103833</v>
      </c>
      <c r="C38" s="8" t="n">
        <f aca="false">B38-B37</f>
        <v>1317911597</v>
      </c>
      <c r="D38" s="8" t="n">
        <f aca="false">C38-C37</f>
        <v>640986529</v>
      </c>
      <c r="E38" s="8" t="n">
        <f aca="false">D38-D37</f>
        <v>312005324</v>
      </c>
      <c r="F38" s="8" t="n">
        <f aca="false">E38-E37</f>
        <v>151980262</v>
      </c>
      <c r="G38" s="8" t="n">
        <f aca="false">F38-F37</f>
        <v>74076552</v>
      </c>
      <c r="H38" s="8" t="n">
        <f aca="false">G38-G37</f>
        <v>36127213</v>
      </c>
      <c r="I38" s="8" t="n">
        <f aca="false">H38-H37</f>
        <v>17638214</v>
      </c>
      <c r="J38" s="8" t="n">
        <f aca="false">I38-I37</f>
        <v>8638502</v>
      </c>
      <c r="K38" s="8" t="n">
        <f aca="false">J38-J37</f>
        <v>4264164</v>
      </c>
      <c r="L38" s="8" t="n">
        <f aca="false">K38-K37</f>
        <v>2119040</v>
      </c>
      <c r="M38" s="8" t="n">
        <f aca="false">L38-L37</f>
        <v>977253</v>
      </c>
      <c r="N38" s="8" t="n">
        <f aca="false">M38-M37</f>
        <v>129671</v>
      </c>
      <c r="O38" s="8" t="n">
        <f aca="false">N38-N37</f>
        <v>-966605</v>
      </c>
      <c r="P38" s="8" t="n">
        <f aca="false">O38-O37</f>
        <v>-2901468</v>
      </c>
      <c r="Q38" s="8" t="n">
        <f aca="false">P38-P37</f>
        <v>-6463249</v>
      </c>
      <c r="R38" s="8" t="n">
        <f aca="false">Q38-Q37</f>
        <v>-12749623</v>
      </c>
      <c r="S38" s="8" t="n">
        <f aca="false">R38-R37</f>
        <v>-23214674</v>
      </c>
      <c r="T38" s="8" t="n">
        <f aca="false">S38-S37</f>
        <v>-39577915</v>
      </c>
      <c r="U38" s="8" t="n">
        <f aca="false">T38-T37</f>
        <v>-63451160</v>
      </c>
      <c r="V38" s="8" t="n">
        <f aca="false">U38-U37</f>
        <v>-95435537</v>
      </c>
      <c r="W38" s="8" t="n">
        <f aca="false">V38-V37</f>
        <v>-133278866</v>
      </c>
      <c r="X38" s="8" t="n">
        <f aca="false">W38-W37</f>
        <v>-168412904</v>
      </c>
      <c r="Y38" s="8" t="n">
        <f aca="false">X38-X37</f>
        <v>-179704243</v>
      </c>
      <c r="Z38" s="8" t="n">
        <f aca="false">Y38-Y37</f>
        <v>-122330756</v>
      </c>
      <c r="AA38" s="8" t="n">
        <f aca="false">Z38-Z37</f>
        <v>92105498</v>
      </c>
      <c r="AB38" s="8" t="n">
        <f aca="false">AA38-AA37</f>
        <v>631647969</v>
      </c>
      <c r="AC38" s="8" t="n">
        <f aca="false">AB38-AB37</f>
        <v>1810478058</v>
      </c>
      <c r="AD38" s="8" t="n">
        <f aca="false">AC38-AC37</f>
        <v>4212933273</v>
      </c>
      <c r="AE38" s="8" t="n">
        <f aca="false">AD38-AD37</f>
        <v>8925693574</v>
      </c>
      <c r="AF38" s="8" t="n">
        <f aca="false">AE38-AE37</f>
        <v>17970444330</v>
      </c>
    </row>
    <row r="39" customFormat="false" ht="15" hidden="false" customHeight="false" outlineLevel="0" collapsed="false">
      <c r="A39" s="9" t="n">
        <v>38</v>
      </c>
      <c r="B39" s="12" t="n">
        <f aca="false">Counts!B39</f>
        <v>5279763824</v>
      </c>
      <c r="C39" s="8" t="n">
        <f aca="false">B39-B38</f>
        <v>2567659991</v>
      </c>
      <c r="D39" s="8" t="n">
        <f aca="false">C39-C38</f>
        <v>1249748394</v>
      </c>
      <c r="E39" s="8" t="n">
        <f aca="false">D39-D38</f>
        <v>608761865</v>
      </c>
      <c r="F39" s="8" t="n">
        <f aca="false">E39-E38</f>
        <v>296756541</v>
      </c>
      <c r="G39" s="8" t="n">
        <f aca="false">F39-F38</f>
        <v>144776279</v>
      </c>
      <c r="H39" s="8" t="n">
        <f aca="false">G39-G38</f>
        <v>70699727</v>
      </c>
      <c r="I39" s="8" t="n">
        <f aca="false">H39-H38</f>
        <v>34572514</v>
      </c>
      <c r="J39" s="8" t="n">
        <f aca="false">I39-I38</f>
        <v>16934300</v>
      </c>
      <c r="K39" s="8" t="n">
        <f aca="false">J39-J38</f>
        <v>8295798</v>
      </c>
      <c r="L39" s="8" t="n">
        <f aca="false">K39-K38</f>
        <v>4031634</v>
      </c>
      <c r="M39" s="8" t="n">
        <f aca="false">L39-L38</f>
        <v>1912594</v>
      </c>
      <c r="N39" s="8" t="n">
        <f aca="false">M39-M38</f>
        <v>935341</v>
      </c>
      <c r="O39" s="8" t="n">
        <f aca="false">N39-N38</f>
        <v>805670</v>
      </c>
      <c r="P39" s="8" t="n">
        <f aca="false">O39-O38</f>
        <v>1772275</v>
      </c>
      <c r="Q39" s="8" t="n">
        <f aca="false">P39-P38</f>
        <v>4673743</v>
      </c>
      <c r="R39" s="8" t="n">
        <f aca="false">Q39-Q38</f>
        <v>11136992</v>
      </c>
      <c r="S39" s="8" t="n">
        <f aca="false">R39-R38</f>
        <v>23886615</v>
      </c>
      <c r="T39" s="8" t="n">
        <f aca="false">S39-S38</f>
        <v>47101289</v>
      </c>
      <c r="U39" s="8" t="n">
        <f aca="false">T39-T38</f>
        <v>86679204</v>
      </c>
      <c r="V39" s="8" t="n">
        <f aca="false">U39-U38</f>
        <v>150130364</v>
      </c>
      <c r="W39" s="8" t="n">
        <f aca="false">V39-V38</f>
        <v>245565901</v>
      </c>
      <c r="X39" s="8" t="n">
        <f aca="false">W39-W38</f>
        <v>378844767</v>
      </c>
      <c r="Y39" s="8" t="n">
        <f aca="false">X39-X38</f>
        <v>547257671</v>
      </c>
      <c r="Z39" s="8" t="n">
        <f aca="false">Y39-Y38</f>
        <v>726961914</v>
      </c>
      <c r="AA39" s="8" t="n">
        <f aca="false">Z39-Z38</f>
        <v>849292670</v>
      </c>
      <c r="AB39" s="8" t="n">
        <f aca="false">AA39-AA38</f>
        <v>757187172</v>
      </c>
      <c r="AC39" s="8" t="n">
        <f aca="false">AB39-AB38</f>
        <v>125539203</v>
      </c>
      <c r="AD39" s="8" t="n">
        <f aca="false">AC39-AC38</f>
        <v>-1684938855</v>
      </c>
      <c r="AE39" s="8" t="n">
        <f aca="false">AD39-AD38</f>
        <v>-5897872128</v>
      </c>
      <c r="AF39" s="8" t="n">
        <f aca="false">AE39-AE38</f>
        <v>-14823565702</v>
      </c>
    </row>
    <row r="40" customFormat="false" ht="15" hidden="false" customHeight="false" outlineLevel="0" collapsed="false">
      <c r="A40" s="9" t="n">
        <v>39</v>
      </c>
      <c r="B40" s="12" t="n">
        <f aca="false">Counts!B40</f>
        <v>10285641778</v>
      </c>
      <c r="C40" s="8" t="n">
        <f aca="false">B40-B39</f>
        <v>5005877954</v>
      </c>
      <c r="D40" s="8" t="n">
        <f aca="false">C40-C39</f>
        <v>2438217963</v>
      </c>
      <c r="E40" s="8" t="n">
        <f aca="false">D40-D39</f>
        <v>1188469569</v>
      </c>
      <c r="F40" s="8" t="n">
        <f aca="false">E40-E39</f>
        <v>579707704</v>
      </c>
      <c r="G40" s="8" t="n">
        <f aca="false">F40-F39</f>
        <v>282951163</v>
      </c>
      <c r="H40" s="8" t="n">
        <f aca="false">G40-G39</f>
        <v>138174884</v>
      </c>
      <c r="I40" s="8" t="n">
        <f aca="false">H40-H39</f>
        <v>67475157</v>
      </c>
      <c r="J40" s="8" t="n">
        <f aca="false">I40-I39</f>
        <v>32902643</v>
      </c>
      <c r="K40" s="8" t="n">
        <f aca="false">J40-J39</f>
        <v>15968343</v>
      </c>
      <c r="L40" s="8" t="n">
        <f aca="false">K40-K39</f>
        <v>7672545</v>
      </c>
      <c r="M40" s="8" t="n">
        <f aca="false">L40-L39</f>
        <v>3640911</v>
      </c>
      <c r="N40" s="8" t="n">
        <f aca="false">M40-M39</f>
        <v>1728317</v>
      </c>
      <c r="O40" s="8" t="n">
        <f aca="false">N40-N39</f>
        <v>792976</v>
      </c>
      <c r="P40" s="8" t="n">
        <f aca="false">O40-O39</f>
        <v>-12694</v>
      </c>
      <c r="Q40" s="8" t="n">
        <f aca="false">P40-P39</f>
        <v>-1784969</v>
      </c>
      <c r="R40" s="8" t="n">
        <f aca="false">Q40-Q39</f>
        <v>-6458712</v>
      </c>
      <c r="S40" s="8" t="n">
        <f aca="false">R40-R39</f>
        <v>-17595704</v>
      </c>
      <c r="T40" s="8" t="n">
        <f aca="false">S40-S39</f>
        <v>-41482319</v>
      </c>
      <c r="U40" s="8" t="n">
        <f aca="false">T40-T39</f>
        <v>-88583608</v>
      </c>
      <c r="V40" s="8" t="n">
        <f aca="false">U40-U39</f>
        <v>-175262812</v>
      </c>
      <c r="W40" s="8" t="n">
        <f aca="false">V40-V39</f>
        <v>-325393176</v>
      </c>
      <c r="X40" s="8" t="n">
        <f aca="false">W40-W39</f>
        <v>-570959077</v>
      </c>
      <c r="Y40" s="8" t="n">
        <f aca="false">X40-X39</f>
        <v>-949803844</v>
      </c>
      <c r="Z40" s="8" t="n">
        <f aca="false">Y40-Y39</f>
        <v>-1497061515</v>
      </c>
      <c r="AA40" s="8" t="n">
        <f aca="false">Z40-Z39</f>
        <v>-2224023429</v>
      </c>
      <c r="AB40" s="8" t="n">
        <f aca="false">AA40-AA39</f>
        <v>-3073316099</v>
      </c>
      <c r="AC40" s="8" t="n">
        <f aca="false">AB40-AB39</f>
        <v>-3830503271</v>
      </c>
      <c r="AD40" s="8" t="n">
        <f aca="false">AC40-AC39</f>
        <v>-3956042474</v>
      </c>
      <c r="AE40" s="8" t="n">
        <f aca="false">AD40-AD39</f>
        <v>-2271103619</v>
      </c>
      <c r="AF40" s="8" t="n">
        <f aca="false">AE40-AE39</f>
        <v>3626768509</v>
      </c>
    </row>
    <row r="41" customFormat="false" ht="15" hidden="false" customHeight="false" outlineLevel="0" collapsed="false">
      <c r="A41" s="9" t="n">
        <v>40</v>
      </c>
      <c r="B41" s="12" t="n">
        <f aca="false">Counts!B41</f>
        <v>20051180846</v>
      </c>
      <c r="C41" s="8" t="n">
        <f aca="false">B41-B40</f>
        <v>9765539068</v>
      </c>
      <c r="D41" s="8" t="n">
        <f aca="false">C41-C40</f>
        <v>4759661114</v>
      </c>
      <c r="E41" s="8" t="n">
        <f aca="false">D41-D40</f>
        <v>2321443151</v>
      </c>
      <c r="F41" s="8" t="n">
        <f aca="false">E41-E40</f>
        <v>1132973582</v>
      </c>
      <c r="G41" s="8" t="n">
        <f aca="false">F41-F40</f>
        <v>553265878</v>
      </c>
      <c r="H41" s="8" t="n">
        <f aca="false">G41-G40</f>
        <v>270314715</v>
      </c>
      <c r="I41" s="8" t="n">
        <f aca="false">H41-H40</f>
        <v>132139831</v>
      </c>
      <c r="J41" s="8" t="n">
        <f aca="false">I41-I40</f>
        <v>64664674</v>
      </c>
      <c r="K41" s="8" t="n">
        <f aca="false">J41-J40</f>
        <v>31762031</v>
      </c>
      <c r="L41" s="8" t="n">
        <f aca="false">K41-K40</f>
        <v>15793688</v>
      </c>
      <c r="M41" s="8" t="n">
        <f aca="false">L41-L40</f>
        <v>8121143</v>
      </c>
      <c r="N41" s="8" t="n">
        <f aca="false">M41-M40</f>
        <v>4480232</v>
      </c>
      <c r="O41" s="8" t="n">
        <f aca="false">N41-N40</f>
        <v>2751915</v>
      </c>
      <c r="P41" s="8" t="n">
        <f aca="false">O41-O40</f>
        <v>1958939</v>
      </c>
      <c r="Q41" s="8" t="n">
        <f aca="false">P41-P40</f>
        <v>1971633</v>
      </c>
      <c r="R41" s="8" t="n">
        <f aca="false">Q41-Q40</f>
        <v>3756602</v>
      </c>
      <c r="S41" s="8" t="n">
        <f aca="false">R41-R40</f>
        <v>10215314</v>
      </c>
      <c r="T41" s="8" t="n">
        <f aca="false">S41-S40</f>
        <v>27811018</v>
      </c>
      <c r="U41" s="8" t="n">
        <f aca="false">T41-T40</f>
        <v>69293337</v>
      </c>
      <c r="V41" s="8" t="n">
        <f aca="false">U41-U40</f>
        <v>157876945</v>
      </c>
      <c r="W41" s="8" t="n">
        <f aca="false">V41-V40</f>
        <v>333139757</v>
      </c>
      <c r="X41" s="8" t="n">
        <f aca="false">W41-W40</f>
        <v>658532933</v>
      </c>
      <c r="Y41" s="8" t="n">
        <f aca="false">X41-X40</f>
        <v>1229492010</v>
      </c>
      <c r="Z41" s="8" t="n">
        <f aca="false">Y41-Y40</f>
        <v>2179295854</v>
      </c>
      <c r="AA41" s="8" t="n">
        <f aca="false">Z41-Z40</f>
        <v>3676357369</v>
      </c>
      <c r="AB41" s="8" t="n">
        <f aca="false">AA41-AA40</f>
        <v>5900380798</v>
      </c>
      <c r="AC41" s="8" t="n">
        <f aca="false">AB41-AB40</f>
        <v>8973696897</v>
      </c>
      <c r="AD41" s="8" t="n">
        <f aca="false">AC41-AC40</f>
        <v>12804200168</v>
      </c>
      <c r="AE41" s="8" t="n">
        <f aca="false">AD41-AD40</f>
        <v>16760242642</v>
      </c>
      <c r="AF41" s="8" t="n">
        <f aca="false">AE41-AE40</f>
        <v>19031346261</v>
      </c>
    </row>
    <row r="42" customFormat="false" ht="15" hidden="false" customHeight="false" outlineLevel="0" collapsed="false">
      <c r="A42" s="9" t="n">
        <v>41</v>
      </c>
      <c r="B42" s="12" t="n">
        <f aca="false">Counts!B42</f>
        <v>39113482640</v>
      </c>
      <c r="C42" s="8" t="n">
        <f aca="false">B42-B41</f>
        <v>19062301794</v>
      </c>
      <c r="D42" s="8" t="n">
        <f aca="false">C42-C41</f>
        <v>9296762726</v>
      </c>
      <c r="E42" s="8" t="n">
        <f aca="false">D42-D41</f>
        <v>4537101612</v>
      </c>
      <c r="F42" s="8" t="n">
        <f aca="false">E42-E41</f>
        <v>2215658461</v>
      </c>
      <c r="G42" s="8" t="n">
        <f aca="false">F42-F41</f>
        <v>1082684879</v>
      </c>
      <c r="H42" s="8" t="n">
        <f aca="false">G42-G41</f>
        <v>529419001</v>
      </c>
      <c r="I42" s="8" t="n">
        <f aca="false">H42-H41</f>
        <v>259104286</v>
      </c>
      <c r="J42" s="8" t="n">
        <f aca="false">I42-I41</f>
        <v>126964455</v>
      </c>
      <c r="K42" s="8" t="n">
        <f aca="false">J42-J41</f>
        <v>62299781</v>
      </c>
      <c r="L42" s="8" t="n">
        <f aca="false">K42-K41</f>
        <v>30537750</v>
      </c>
      <c r="M42" s="8" t="n">
        <f aca="false">L42-L41</f>
        <v>14744062</v>
      </c>
      <c r="N42" s="8" t="n">
        <f aca="false">M42-M41</f>
        <v>6622919</v>
      </c>
      <c r="O42" s="8" t="n">
        <f aca="false">N42-N41</f>
        <v>2142687</v>
      </c>
      <c r="P42" s="8" t="n">
        <f aca="false">O42-O41</f>
        <v>-609228</v>
      </c>
      <c r="Q42" s="8" t="n">
        <f aca="false">P42-P41</f>
        <v>-2568167</v>
      </c>
      <c r="R42" s="8" t="n">
        <f aca="false">Q42-Q41</f>
        <v>-4539800</v>
      </c>
      <c r="S42" s="8" t="n">
        <f aca="false">R42-R41</f>
        <v>-8296402</v>
      </c>
      <c r="T42" s="8" t="n">
        <f aca="false">S42-S41</f>
        <v>-18511716</v>
      </c>
      <c r="U42" s="8" t="n">
        <f aca="false">T42-T41</f>
        <v>-46322734</v>
      </c>
      <c r="V42" s="8" t="n">
        <f aca="false">U42-U41</f>
        <v>-115616071</v>
      </c>
      <c r="W42" s="8" t="n">
        <f aca="false">V42-V41</f>
        <v>-273493016</v>
      </c>
      <c r="X42" s="8" t="n">
        <f aca="false">W42-W41</f>
        <v>-606632773</v>
      </c>
      <c r="Y42" s="8" t="n">
        <f aca="false">X42-X41</f>
        <v>-1265165706</v>
      </c>
      <c r="Z42" s="8" t="n">
        <f aca="false">Y42-Y41</f>
        <v>-2494657716</v>
      </c>
      <c r="AA42" s="8" t="n">
        <f aca="false">Z42-Z41</f>
        <v>-4673953570</v>
      </c>
      <c r="AB42" s="8" t="n">
        <f aca="false">AA42-AA41</f>
        <v>-8350310939</v>
      </c>
      <c r="AC42" s="8" t="n">
        <f aca="false">AB42-AB41</f>
        <v>-14250691737</v>
      </c>
      <c r="AD42" s="8" t="n">
        <f aca="false">AC42-AC41</f>
        <v>-23224388634</v>
      </c>
      <c r="AE42" s="8" t="n">
        <f aca="false">AD42-AD41</f>
        <v>-36028588802</v>
      </c>
      <c r="AF42" s="8" t="n">
        <f aca="false">AE42-AE41</f>
        <v>-52788831444</v>
      </c>
    </row>
    <row r="43" customFormat="false" ht="15" hidden="false" customHeight="false" outlineLevel="0" collapsed="false">
      <c r="A43" s="9" t="n">
        <v>42</v>
      </c>
      <c r="B43" s="12" t="n">
        <f aca="false">Counts!B43</f>
        <v>76344462797</v>
      </c>
      <c r="C43" s="8" t="n">
        <f aca="false">B43-B42</f>
        <v>37230980157</v>
      </c>
      <c r="D43" s="8" t="n">
        <f aca="false">C43-C42</f>
        <v>18168678363</v>
      </c>
      <c r="E43" s="8" t="n">
        <f aca="false">D43-D42</f>
        <v>8871915637</v>
      </c>
      <c r="F43" s="8" t="n">
        <f aca="false">E43-E42</f>
        <v>4334814025</v>
      </c>
      <c r="G43" s="8" t="n">
        <f aca="false">F43-F42</f>
        <v>2119155564</v>
      </c>
      <c r="H43" s="8" t="n">
        <f aca="false">G43-G42</f>
        <v>1036470685</v>
      </c>
      <c r="I43" s="8" t="n">
        <f aca="false">H43-H42</f>
        <v>507051684</v>
      </c>
      <c r="J43" s="8" t="n">
        <f aca="false">I43-I42</f>
        <v>247947398</v>
      </c>
      <c r="K43" s="8" t="n">
        <f aca="false">J43-J42</f>
        <v>120982943</v>
      </c>
      <c r="L43" s="8" t="n">
        <f aca="false">K43-K42</f>
        <v>58683162</v>
      </c>
      <c r="M43" s="8" t="n">
        <f aca="false">L43-L42</f>
        <v>28145412</v>
      </c>
      <c r="N43" s="8" t="n">
        <f aca="false">M43-M42</f>
        <v>13401350</v>
      </c>
      <c r="O43" s="8" t="n">
        <f aca="false">N43-N42</f>
        <v>6778431</v>
      </c>
      <c r="P43" s="8" t="n">
        <f aca="false">O43-O42</f>
        <v>4635744</v>
      </c>
      <c r="Q43" s="8" t="n">
        <f aca="false">P43-P42</f>
        <v>5244972</v>
      </c>
      <c r="R43" s="8" t="n">
        <f aca="false">Q43-Q42</f>
        <v>7813139</v>
      </c>
      <c r="S43" s="8" t="n">
        <f aca="false">R43-R42</f>
        <v>12352939</v>
      </c>
      <c r="T43" s="8" t="n">
        <f aca="false">S43-S42</f>
        <v>20649341</v>
      </c>
      <c r="U43" s="8" t="n">
        <f aca="false">T43-T42</f>
        <v>39161057</v>
      </c>
      <c r="V43" s="8" t="n">
        <f aca="false">U43-U42</f>
        <v>85483791</v>
      </c>
      <c r="W43" s="8" t="n">
        <f aca="false">V43-V42</f>
        <v>201099862</v>
      </c>
      <c r="X43" s="8" t="n">
        <f aca="false">W43-W42</f>
        <v>474592878</v>
      </c>
      <c r="Y43" s="8" t="n">
        <f aca="false">X43-X42</f>
        <v>1081225651</v>
      </c>
      <c r="Z43" s="8" t="n">
        <f aca="false">Y43-Y42</f>
        <v>2346391357</v>
      </c>
      <c r="AA43" s="8" t="n">
        <f aca="false">Z43-Z42</f>
        <v>4841049073</v>
      </c>
      <c r="AB43" s="8" t="n">
        <f aca="false">AA43-AA42</f>
        <v>9515002643</v>
      </c>
      <c r="AC43" s="8" t="n">
        <f aca="false">AB43-AB42</f>
        <v>17865313582</v>
      </c>
      <c r="AD43" s="8" t="n">
        <f aca="false">AC43-AC42</f>
        <v>32116005319</v>
      </c>
      <c r="AE43" s="8" t="n">
        <f aca="false">AD43-AD42</f>
        <v>55340393953</v>
      </c>
      <c r="AF43" s="8" t="n">
        <f aca="false">AE43-AE42</f>
        <v>91368982755</v>
      </c>
    </row>
    <row r="44" customFormat="false" ht="15" hidden="false" customHeight="false" outlineLevel="0" collapsed="false">
      <c r="A44" s="9" t="n">
        <v>43</v>
      </c>
      <c r="B44" s="12" t="n">
        <f aca="false">Counts!B44</f>
        <v>149100679004</v>
      </c>
      <c r="C44" s="8" t="n">
        <f aca="false">B44-B43</f>
        <v>72756216207</v>
      </c>
      <c r="D44" s="8" t="n">
        <f aca="false">C44-C43</f>
        <v>35525236050</v>
      </c>
      <c r="E44" s="8" t="n">
        <f aca="false">D44-D43</f>
        <v>17356557687</v>
      </c>
      <c r="F44" s="8" t="n">
        <f aca="false">E44-E43</f>
        <v>8484642050</v>
      </c>
      <c r="G44" s="8" t="n">
        <f aca="false">F44-F43</f>
        <v>4149828025</v>
      </c>
      <c r="H44" s="8" t="n">
        <f aca="false">G44-G43</f>
        <v>2030672461</v>
      </c>
      <c r="I44" s="8" t="n">
        <f aca="false">H44-H43</f>
        <v>994201776</v>
      </c>
      <c r="J44" s="8" t="n">
        <f aca="false">I44-I43</f>
        <v>487150092</v>
      </c>
      <c r="K44" s="8" t="n">
        <f aca="false">J44-J43</f>
        <v>239202694</v>
      </c>
      <c r="L44" s="8" t="n">
        <f aca="false">K44-K43</f>
        <v>118219751</v>
      </c>
      <c r="M44" s="8" t="n">
        <f aca="false">L44-L43</f>
        <v>59536589</v>
      </c>
      <c r="N44" s="8" t="n">
        <f aca="false">M44-M43</f>
        <v>31391177</v>
      </c>
      <c r="O44" s="8" t="n">
        <f aca="false">N44-N43</f>
        <v>17989827</v>
      </c>
      <c r="P44" s="8" t="n">
        <f aca="false">O44-O43</f>
        <v>11211396</v>
      </c>
      <c r="Q44" s="8" t="n">
        <f aca="false">P44-P43</f>
        <v>6575652</v>
      </c>
      <c r="R44" s="8" t="n">
        <f aca="false">Q44-Q43</f>
        <v>1330680</v>
      </c>
      <c r="S44" s="8" t="n">
        <f aca="false">R44-R43</f>
        <v>-6482459</v>
      </c>
      <c r="T44" s="8" t="n">
        <f aca="false">S44-S43</f>
        <v>-18835398</v>
      </c>
      <c r="U44" s="8" t="n">
        <f aca="false">T44-T43</f>
        <v>-39484739</v>
      </c>
      <c r="V44" s="8" t="n">
        <f aca="false">U44-U43</f>
        <v>-78645796</v>
      </c>
      <c r="W44" s="8" t="n">
        <f aca="false">V44-V43</f>
        <v>-164129587</v>
      </c>
      <c r="X44" s="8" t="n">
        <f aca="false">W44-W43</f>
        <v>-365229449</v>
      </c>
      <c r="Y44" s="8" t="n">
        <f aca="false">X44-X43</f>
        <v>-839822327</v>
      </c>
      <c r="Z44" s="8" t="n">
        <f aca="false">Y44-Y43</f>
        <v>-1921047978</v>
      </c>
      <c r="AA44" s="8" t="n">
        <f aca="false">Z44-Z43</f>
        <v>-4267439335</v>
      </c>
      <c r="AB44" s="8" t="n">
        <f aca="false">AA44-AA43</f>
        <v>-9108488408</v>
      </c>
      <c r="AC44" s="8" t="n">
        <f aca="false">AB44-AB43</f>
        <v>-18623491051</v>
      </c>
      <c r="AD44" s="8" t="n">
        <f aca="false">AC44-AC43</f>
        <v>-36488804633</v>
      </c>
      <c r="AE44" s="8" t="n">
        <f aca="false">AD44-AD43</f>
        <v>-68604809952</v>
      </c>
      <c r="AF44" s="8" t="n">
        <f aca="false">AE44-AE43</f>
        <v>-123945203905</v>
      </c>
    </row>
    <row r="45" customFormat="false" ht="15" hidden="false" customHeight="false" outlineLevel="0" collapsed="false">
      <c r="A45" s="9" t="n">
        <v>44</v>
      </c>
      <c r="B45" s="12" t="n">
        <f aca="false">Counts!B45</f>
        <v>291354668495</v>
      </c>
      <c r="C45" s="8" t="n">
        <f aca="false">B45-B44</f>
        <v>142253989491</v>
      </c>
      <c r="D45" s="8" t="n">
        <f aca="false">C45-C44</f>
        <v>69497773284</v>
      </c>
      <c r="E45" s="8" t="n">
        <f aca="false">D45-D44</f>
        <v>33972537234</v>
      </c>
      <c r="F45" s="8" t="n">
        <f aca="false">E45-E44</f>
        <v>16615979547</v>
      </c>
      <c r="G45" s="8" t="n">
        <f aca="false">F45-F44</f>
        <v>8131337497</v>
      </c>
      <c r="H45" s="8" t="n">
        <f aca="false">G45-G44</f>
        <v>3981509472</v>
      </c>
      <c r="I45" s="8" t="n">
        <f aca="false">H45-H44</f>
        <v>1950837011</v>
      </c>
      <c r="J45" s="8" t="n">
        <f aca="false">I45-I44</f>
        <v>956635235</v>
      </c>
      <c r="K45" s="8" t="n">
        <f aca="false">J45-J44</f>
        <v>469485143</v>
      </c>
      <c r="L45" s="8" t="n">
        <f aca="false">K45-K44</f>
        <v>230282449</v>
      </c>
      <c r="M45" s="8" t="n">
        <f aca="false">L45-L44</f>
        <v>112062698</v>
      </c>
      <c r="N45" s="8" t="n">
        <f aca="false">M45-M44</f>
        <v>52526109</v>
      </c>
      <c r="O45" s="8" t="n">
        <f aca="false">N45-N44</f>
        <v>21134932</v>
      </c>
      <c r="P45" s="8" t="n">
        <f aca="false">O45-O44</f>
        <v>3145105</v>
      </c>
      <c r="Q45" s="8" t="n">
        <f aca="false">P45-P44</f>
        <v>-8066291</v>
      </c>
      <c r="R45" s="8" t="n">
        <f aca="false">Q45-Q44</f>
        <v>-14641943</v>
      </c>
      <c r="S45" s="8" t="n">
        <f aca="false">R45-R44</f>
        <v>-15972623</v>
      </c>
      <c r="T45" s="8" t="n">
        <f aca="false">S45-S44</f>
        <v>-9490164</v>
      </c>
      <c r="U45" s="8" t="n">
        <f aca="false">T45-T44</f>
        <v>9345234</v>
      </c>
      <c r="V45" s="8" t="n">
        <f aca="false">U45-U44</f>
        <v>48829973</v>
      </c>
      <c r="W45" s="8" t="n">
        <f aca="false">V45-V44</f>
        <v>127475769</v>
      </c>
      <c r="X45" s="8" t="n">
        <f aca="false">W45-W44</f>
        <v>291605356</v>
      </c>
      <c r="Y45" s="8" t="n">
        <f aca="false">X45-X44</f>
        <v>656834805</v>
      </c>
      <c r="Z45" s="8" t="n">
        <f aca="false">Y45-Y44</f>
        <v>1496657132</v>
      </c>
      <c r="AA45" s="8" t="n">
        <f aca="false">Z45-Z44</f>
        <v>3417705110</v>
      </c>
      <c r="AB45" s="8" t="n">
        <f aca="false">AA45-AA44</f>
        <v>7685144445</v>
      </c>
      <c r="AC45" s="8" t="n">
        <f aca="false">AB45-AB44</f>
        <v>16793632853</v>
      </c>
      <c r="AD45" s="8" t="n">
        <f aca="false">AC45-AC44</f>
        <v>35417123904</v>
      </c>
      <c r="AE45" s="8" t="n">
        <f aca="false">AD45-AD44</f>
        <v>71905928537</v>
      </c>
      <c r="AF45" s="8" t="n">
        <f aca="false">AE45-AE44</f>
        <v>140510738489</v>
      </c>
    </row>
    <row r="46" customFormat="false" ht="15" hidden="false" customHeight="false" outlineLevel="0" collapsed="false">
      <c r="A46" s="9" t="n">
        <v>45</v>
      </c>
      <c r="B46" s="12" t="n">
        <f aca="false">Counts!B46</f>
        <v>569630404450</v>
      </c>
      <c r="C46" s="8" t="n">
        <f aca="false">B46-B45</f>
        <v>278275735955</v>
      </c>
      <c r="D46" s="8" t="n">
        <f aca="false">C46-C45</f>
        <v>136021746464</v>
      </c>
      <c r="E46" s="8" t="n">
        <f aca="false">D46-D45</f>
        <v>66523973180</v>
      </c>
      <c r="F46" s="8" t="n">
        <f aca="false">E46-E45</f>
        <v>32551435946</v>
      </c>
      <c r="G46" s="8" t="n">
        <f aca="false">F46-F45</f>
        <v>15935456399</v>
      </c>
      <c r="H46" s="8" t="n">
        <f aca="false">G46-G45</f>
        <v>7804118902</v>
      </c>
      <c r="I46" s="8" t="n">
        <f aca="false">H46-H45</f>
        <v>3822609430</v>
      </c>
      <c r="J46" s="8" t="n">
        <f aca="false">I46-I45</f>
        <v>1871772419</v>
      </c>
      <c r="K46" s="8" t="n">
        <f aca="false">J46-J45</f>
        <v>915137184</v>
      </c>
      <c r="L46" s="8" t="n">
        <f aca="false">K46-K45</f>
        <v>445652041</v>
      </c>
      <c r="M46" s="8" t="n">
        <f aca="false">L46-L45</f>
        <v>215369592</v>
      </c>
      <c r="N46" s="8" t="n">
        <f aca="false">M46-M45</f>
        <v>103306894</v>
      </c>
      <c r="O46" s="8" t="n">
        <f aca="false">N46-N45</f>
        <v>50780785</v>
      </c>
      <c r="P46" s="8" t="n">
        <f aca="false">O46-O45</f>
        <v>29645853</v>
      </c>
      <c r="Q46" s="8" t="n">
        <f aca="false">P46-P45</f>
        <v>26500748</v>
      </c>
      <c r="R46" s="8" t="n">
        <f aca="false">Q46-Q45</f>
        <v>34567039</v>
      </c>
      <c r="S46" s="8" t="n">
        <f aca="false">R46-R45</f>
        <v>49208982</v>
      </c>
      <c r="T46" s="8" t="n">
        <f aca="false">S46-S45</f>
        <v>65181605</v>
      </c>
      <c r="U46" s="8" t="n">
        <f aca="false">T46-T45</f>
        <v>74671769</v>
      </c>
      <c r="V46" s="8" t="n">
        <f aca="false">U46-U45</f>
        <v>65326535</v>
      </c>
      <c r="W46" s="8" t="n">
        <f aca="false">V46-V45</f>
        <v>16496562</v>
      </c>
      <c r="X46" s="8" t="n">
        <f aca="false">W46-W45</f>
        <v>-110979207</v>
      </c>
      <c r="Y46" s="8" t="n">
        <f aca="false">X46-X45</f>
        <v>-402584563</v>
      </c>
      <c r="Z46" s="8" t="n">
        <f aca="false">Y46-Y45</f>
        <v>-1059419368</v>
      </c>
      <c r="AA46" s="8" t="n">
        <f aca="false">Z46-Z45</f>
        <v>-2556076500</v>
      </c>
      <c r="AB46" s="8" t="n">
        <f aca="false">AA46-AA45</f>
        <v>-5973781610</v>
      </c>
      <c r="AC46" s="8" t="n">
        <f aca="false">AB46-AB45</f>
        <v>-13658926055</v>
      </c>
      <c r="AD46" s="8" t="n">
        <f aca="false">AC46-AC45</f>
        <v>-30452558908</v>
      </c>
      <c r="AE46" s="8" t="n">
        <f aca="false">AD46-AD45</f>
        <v>-65869682812</v>
      </c>
      <c r="AF46" s="8" t="n">
        <f aca="false">AE46-AE45</f>
        <v>-137775611349</v>
      </c>
    </row>
    <row r="47" customFormat="false" ht="15" hidden="false" customHeight="false" outlineLevel="0" collapsed="false">
      <c r="A47" s="9" t="n">
        <v>46</v>
      </c>
      <c r="B47" s="12" t="n">
        <f aca="false">Counts!B47</f>
        <v>1114251967767</v>
      </c>
      <c r="C47" s="8" t="n">
        <f aca="false">B47-B46</f>
        <v>544621563317</v>
      </c>
      <c r="D47" s="8" t="n">
        <f aca="false">C47-C46</f>
        <v>266345827362</v>
      </c>
      <c r="E47" s="8" t="n">
        <f aca="false">D47-D46</f>
        <v>130324080898</v>
      </c>
      <c r="F47" s="8" t="n">
        <f aca="false">E47-E46</f>
        <v>63800107718</v>
      </c>
      <c r="G47" s="8" t="n">
        <f aca="false">F47-F46</f>
        <v>31248671772</v>
      </c>
      <c r="H47" s="8" t="n">
        <f aca="false">G47-G46</f>
        <v>15313215373</v>
      </c>
      <c r="I47" s="8" t="n">
        <f aca="false">H47-H46</f>
        <v>7509096471</v>
      </c>
      <c r="J47" s="8" t="n">
        <f aca="false">I47-I46</f>
        <v>3686487041</v>
      </c>
      <c r="K47" s="8" t="n">
        <f aca="false">J47-J46</f>
        <v>1814714622</v>
      </c>
      <c r="L47" s="8" t="n">
        <f aca="false">K47-K46</f>
        <v>899577438</v>
      </c>
      <c r="M47" s="8" t="n">
        <f aca="false">L47-L46</f>
        <v>453925397</v>
      </c>
      <c r="N47" s="8" t="n">
        <f aca="false">M47-M46</f>
        <v>238555805</v>
      </c>
      <c r="O47" s="8" t="n">
        <f aca="false">N47-N46</f>
        <v>135248911</v>
      </c>
      <c r="P47" s="8" t="n">
        <f aca="false">O47-O46</f>
        <v>84468126</v>
      </c>
      <c r="Q47" s="8" t="n">
        <f aca="false">P47-P46</f>
        <v>54822273</v>
      </c>
      <c r="R47" s="8" t="n">
        <f aca="false">Q47-Q46</f>
        <v>28321525</v>
      </c>
      <c r="S47" s="8" t="n">
        <f aca="false">R47-R46</f>
        <v>-6245514</v>
      </c>
      <c r="T47" s="8" t="n">
        <f aca="false">S47-S46</f>
        <v>-55454496</v>
      </c>
      <c r="U47" s="8" t="n">
        <f aca="false">T47-T46</f>
        <v>-120636101</v>
      </c>
      <c r="V47" s="8" t="n">
        <f aca="false">U47-U46</f>
        <v>-195307870</v>
      </c>
      <c r="W47" s="8" t="n">
        <f aca="false">V47-V46</f>
        <v>-260634405</v>
      </c>
      <c r="X47" s="8" t="n">
        <f aca="false">W47-W46</f>
        <v>-277130967</v>
      </c>
      <c r="Y47" s="8" t="n">
        <f aca="false">X47-X46</f>
        <v>-166151760</v>
      </c>
      <c r="Z47" s="8" t="n">
        <f aca="false">Y47-Y46</f>
        <v>236432803</v>
      </c>
      <c r="AA47" s="8" t="n">
        <f aca="false">Z47-Z46</f>
        <v>1295852171</v>
      </c>
      <c r="AB47" s="8" t="n">
        <f aca="false">AA47-AA46</f>
        <v>3851928671</v>
      </c>
      <c r="AC47" s="8" t="n">
        <f aca="false">AB47-AB46</f>
        <v>9825710281</v>
      </c>
      <c r="AD47" s="8" t="n">
        <f aca="false">AC47-AC46</f>
        <v>23484636336</v>
      </c>
      <c r="AE47" s="8" t="n">
        <f aca="false">AD47-AD46</f>
        <v>53937195244</v>
      </c>
      <c r="AF47" s="8" t="n">
        <f aca="false">AE47-AE46</f>
        <v>119806878056</v>
      </c>
    </row>
    <row r="48" customFormat="false" ht="15" hidden="false" customHeight="false" outlineLevel="0" collapsed="false">
      <c r="A48" s="9" t="n">
        <v>47</v>
      </c>
      <c r="B48" s="12" t="n">
        <f aca="false">Counts!B48</f>
        <v>2180634225768</v>
      </c>
      <c r="C48" s="8" t="n">
        <f aca="false">B48-B47</f>
        <v>1066382258001</v>
      </c>
      <c r="D48" s="8" t="n">
        <f aca="false">C48-C47</f>
        <v>521760694684</v>
      </c>
      <c r="E48" s="8" t="n">
        <f aca="false">D48-D47</f>
        <v>255414867322</v>
      </c>
      <c r="F48" s="8" t="n">
        <f aca="false">E48-E47</f>
        <v>125090786424</v>
      </c>
      <c r="G48" s="8" t="n">
        <f aca="false">F48-F47</f>
        <v>61290678706</v>
      </c>
      <c r="H48" s="8" t="n">
        <f aca="false">G48-G47</f>
        <v>30042006934</v>
      </c>
      <c r="I48" s="8" t="n">
        <f aca="false">H48-H47</f>
        <v>14728791561</v>
      </c>
      <c r="J48" s="8" t="n">
        <f aca="false">I48-I47</f>
        <v>7219695090</v>
      </c>
      <c r="K48" s="8" t="n">
        <f aca="false">J48-J47</f>
        <v>3533208049</v>
      </c>
      <c r="L48" s="8" t="n">
        <f aca="false">K48-K47</f>
        <v>1718493427</v>
      </c>
      <c r="M48" s="8" t="n">
        <f aca="false">L48-L47</f>
        <v>818915989</v>
      </c>
      <c r="N48" s="8" t="n">
        <f aca="false">M48-M47</f>
        <v>364990592</v>
      </c>
      <c r="O48" s="8" t="n">
        <f aca="false">N48-N47</f>
        <v>126434787</v>
      </c>
      <c r="P48" s="8" t="n">
        <f aca="false">O48-O47</f>
        <v>-8814124</v>
      </c>
      <c r="Q48" s="8" t="n">
        <f aca="false">P48-P47</f>
        <v>-93282250</v>
      </c>
      <c r="R48" s="8" t="n">
        <f aca="false">Q48-Q47</f>
        <v>-148104523</v>
      </c>
      <c r="S48" s="8" t="n">
        <f aca="false">R48-R47</f>
        <v>-176426048</v>
      </c>
      <c r="T48" s="8" t="n">
        <f aca="false">S48-S47</f>
        <v>-170180534</v>
      </c>
      <c r="U48" s="8" t="n">
        <f aca="false">T48-T47</f>
        <v>-114726038</v>
      </c>
      <c r="V48" s="8" t="n">
        <f aca="false">U48-U47</f>
        <v>5910063</v>
      </c>
      <c r="W48" s="8" t="n">
        <f aca="false">V48-V47</f>
        <v>201217933</v>
      </c>
      <c r="X48" s="8" t="n">
        <f aca="false">W48-W47</f>
        <v>461852338</v>
      </c>
      <c r="Y48" s="8" t="n">
        <f aca="false">X48-X47</f>
        <v>738983305</v>
      </c>
      <c r="Z48" s="8" t="n">
        <f aca="false">Y48-Y47</f>
        <v>905135065</v>
      </c>
      <c r="AA48" s="8" t="n">
        <f aca="false">Z48-Z47</f>
        <v>668702262</v>
      </c>
      <c r="AB48" s="8" t="n">
        <f aca="false">AA48-AA47</f>
        <v>-627149909</v>
      </c>
      <c r="AC48" s="8" t="n">
        <f aca="false">AB48-AB47</f>
        <v>-4479078580</v>
      </c>
      <c r="AD48" s="8" t="n">
        <f aca="false">AC48-AC47</f>
        <v>-14304788861</v>
      </c>
      <c r="AE48" s="8" t="n">
        <f aca="false">AD48-AD47</f>
        <v>-37789425197</v>
      </c>
      <c r="AF48" s="8" t="n">
        <f aca="false">AE48-AE47</f>
        <v>-91726620441</v>
      </c>
    </row>
    <row r="49" customFormat="false" ht="15" hidden="false" customHeight="false" outlineLevel="0" collapsed="false">
      <c r="A49" s="9" t="n">
        <v>48</v>
      </c>
      <c r="B49" s="12" t="n">
        <f aca="false">Counts!B49</f>
        <v>4269555883753</v>
      </c>
      <c r="C49" s="8" t="n">
        <f aca="false">B49-B48</f>
        <v>2088921657985</v>
      </c>
      <c r="D49" s="8" t="n">
        <f aca="false">C49-C48</f>
        <v>1022539399984</v>
      </c>
      <c r="E49" s="8" t="n">
        <f aca="false">D49-D48</f>
        <v>500778705300</v>
      </c>
      <c r="F49" s="8" t="n">
        <f aca="false">E49-E48</f>
        <v>245363837978</v>
      </c>
      <c r="G49" s="8" t="n">
        <f aca="false">F49-F48</f>
        <v>120273051554</v>
      </c>
      <c r="H49" s="8" t="n">
        <f aca="false">G49-G48</f>
        <v>58982372848</v>
      </c>
      <c r="I49" s="8" t="n">
        <f aca="false">H49-H48</f>
        <v>28940365914</v>
      </c>
      <c r="J49" s="8" t="n">
        <f aca="false">I49-I48</f>
        <v>14211574353</v>
      </c>
      <c r="K49" s="8" t="n">
        <f aca="false">J49-J48</f>
        <v>6991879263</v>
      </c>
      <c r="L49" s="8" t="n">
        <f aca="false">K49-K48</f>
        <v>3458671214</v>
      </c>
      <c r="M49" s="8" t="n">
        <f aca="false">L49-L48</f>
        <v>1740177787</v>
      </c>
      <c r="N49" s="8" t="n">
        <f aca="false">M49-M48</f>
        <v>921261798</v>
      </c>
      <c r="O49" s="8" t="n">
        <f aca="false">N49-N48</f>
        <v>556271206</v>
      </c>
      <c r="P49" s="8" t="n">
        <f aca="false">O49-O48</f>
        <v>429836419</v>
      </c>
      <c r="Q49" s="8" t="n">
        <f aca="false">P49-P48</f>
        <v>438650543</v>
      </c>
      <c r="R49" s="8" t="n">
        <f aca="false">Q49-Q48</f>
        <v>531932793</v>
      </c>
      <c r="S49" s="8" t="n">
        <f aca="false">R49-R48</f>
        <v>680037316</v>
      </c>
      <c r="T49" s="8" t="n">
        <f aca="false">S49-S48</f>
        <v>856463364</v>
      </c>
      <c r="U49" s="8" t="n">
        <f aca="false">T49-T48</f>
        <v>1026643898</v>
      </c>
      <c r="V49" s="8" t="n">
        <f aca="false">U49-U48</f>
        <v>1141369936</v>
      </c>
      <c r="W49" s="8" t="n">
        <f aca="false">V49-V48</f>
        <v>1135459873</v>
      </c>
      <c r="X49" s="8" t="n">
        <f aca="false">W49-W48</f>
        <v>934241940</v>
      </c>
      <c r="Y49" s="8" t="n">
        <f aca="false">X49-X48</f>
        <v>472389602</v>
      </c>
      <c r="Z49" s="8" t="n">
        <f aca="false">Y49-Y48</f>
        <v>-266593703</v>
      </c>
      <c r="AA49" s="8" t="n">
        <f aca="false">Z49-Z48</f>
        <v>-1171728768</v>
      </c>
      <c r="AB49" s="8" t="n">
        <f aca="false">AA49-AA48</f>
        <v>-1840431030</v>
      </c>
      <c r="AC49" s="8" t="n">
        <f aca="false">AB49-AB48</f>
        <v>-1213281121</v>
      </c>
      <c r="AD49" s="8" t="n">
        <f aca="false">AC49-AC48</f>
        <v>3265797459</v>
      </c>
      <c r="AE49" s="8" t="n">
        <f aca="false">AD49-AD48</f>
        <v>17570586320</v>
      </c>
      <c r="AF49" s="8" t="n">
        <f aca="false">AE49-AE48</f>
        <v>55360011517</v>
      </c>
    </row>
    <row r="50" customFormat="false" ht="15" hidden="false" customHeight="false" outlineLevel="0" collapsed="false">
      <c r="A50" s="9" t="n">
        <v>49</v>
      </c>
      <c r="B50" s="12" t="n">
        <f aca="false">Counts!B50</f>
        <v>8363243713308</v>
      </c>
      <c r="C50" s="8" t="n">
        <f aca="false">B50-B49</f>
        <v>4093687829555</v>
      </c>
      <c r="D50" s="8" t="n">
        <f aca="false">C50-C49</f>
        <v>2004766171570</v>
      </c>
      <c r="E50" s="8" t="n">
        <f aca="false">D50-D49</f>
        <v>982226771586</v>
      </c>
      <c r="F50" s="8" t="n">
        <f aca="false">E50-E49</f>
        <v>481448066286</v>
      </c>
      <c r="G50" s="8" t="n">
        <f aca="false">F50-F49</f>
        <v>236084228308</v>
      </c>
      <c r="H50" s="8" t="n">
        <f aca="false">G50-G49</f>
        <v>115811176754</v>
      </c>
      <c r="I50" s="8" t="n">
        <f aca="false">H50-H49</f>
        <v>56828803906</v>
      </c>
      <c r="J50" s="8" t="n">
        <f aca="false">I50-I49</f>
        <v>27888437992</v>
      </c>
      <c r="K50" s="8" t="n">
        <f aca="false">J50-J49</f>
        <v>13676863639</v>
      </c>
      <c r="L50" s="8" t="n">
        <f aca="false">K50-K49</f>
        <v>6684984376</v>
      </c>
      <c r="M50" s="8" t="n">
        <f aca="false">L50-L49</f>
        <v>3226313162</v>
      </c>
      <c r="N50" s="8" t="n">
        <f aca="false">M50-M49</f>
        <v>1486135375</v>
      </c>
      <c r="O50" s="8" t="n">
        <f aca="false">N50-N49</f>
        <v>564873577</v>
      </c>
      <c r="P50" s="8" t="n">
        <f aca="false">O50-O49</f>
        <v>8602371</v>
      </c>
      <c r="Q50" s="8" t="n">
        <f aca="false">P50-P49</f>
        <v>-421234048</v>
      </c>
      <c r="R50" s="8" t="n">
        <f aca="false">Q50-Q49</f>
        <v>-859884591</v>
      </c>
      <c r="S50" s="8" t="n">
        <f aca="false">R50-R49</f>
        <v>-1391817384</v>
      </c>
      <c r="T50" s="8" t="n">
        <f aca="false">S50-S49</f>
        <v>-2071854700</v>
      </c>
      <c r="U50" s="8" t="n">
        <f aca="false">T50-T49</f>
        <v>-2928318064</v>
      </c>
      <c r="V50" s="8" t="n">
        <f aca="false">U50-U49</f>
        <v>-3954961962</v>
      </c>
      <c r="W50" s="8" t="n">
        <f aca="false">V50-V49</f>
        <v>-5096331898</v>
      </c>
      <c r="X50" s="8" t="n">
        <f aca="false">W50-W49</f>
        <v>-6231791771</v>
      </c>
      <c r="Y50" s="8" t="n">
        <f aca="false">X50-X49</f>
        <v>-7166033711</v>
      </c>
      <c r="Z50" s="8" t="n">
        <f aca="false">Y50-Y49</f>
        <v>-7638423313</v>
      </c>
      <c r="AA50" s="8" t="n">
        <f aca="false">Z50-Z49</f>
        <v>-7371829610</v>
      </c>
      <c r="AB50" s="8" t="n">
        <f aca="false">AA50-AA49</f>
        <v>-6200100842</v>
      </c>
      <c r="AC50" s="8" t="n">
        <f aca="false">AB50-AB49</f>
        <v>-4359669812</v>
      </c>
      <c r="AD50" s="8" t="n">
        <f aca="false">AC50-AC49</f>
        <v>-3146388691</v>
      </c>
      <c r="AE50" s="8" t="n">
        <f aca="false">AD50-AD49</f>
        <v>-6412186150</v>
      </c>
      <c r="AF50" s="8" t="n">
        <f aca="false">AE50-AE49</f>
        <v>-23982772470</v>
      </c>
    </row>
    <row r="51" customFormat="false" ht="15" hidden="false" customHeight="false" outlineLevel="0" collapsed="false">
      <c r="A51" s="9" t="n">
        <v>50</v>
      </c>
      <c r="B51" s="12" t="n">
        <f aca="false">Counts!B51</f>
        <v>16388947026629</v>
      </c>
      <c r="C51" s="8" t="n">
        <f aca="false">B51-B50</f>
        <v>8025703313321</v>
      </c>
      <c r="D51" s="8" t="n">
        <f aca="false">C51-C50</f>
        <v>3932015483766</v>
      </c>
      <c r="E51" s="8" t="n">
        <f aca="false">D51-D50</f>
        <v>1927249312196</v>
      </c>
      <c r="F51" s="8" t="n">
        <f aca="false">E51-E50</f>
        <v>945022540610</v>
      </c>
      <c r="G51" s="8" t="n">
        <f aca="false">F51-F50</f>
        <v>463574474324</v>
      </c>
      <c r="H51" s="8" t="n">
        <f aca="false">G51-G50</f>
        <v>227490246016</v>
      </c>
      <c r="I51" s="8" t="n">
        <f aca="false">H51-H50</f>
        <v>111679069262</v>
      </c>
      <c r="J51" s="8" t="n">
        <f aca="false">I51-I50</f>
        <v>54850265356</v>
      </c>
      <c r="K51" s="8" t="n">
        <f aca="false">J51-J50</f>
        <v>26961827364</v>
      </c>
      <c r="L51" s="8" t="n">
        <f aca="false">K51-K50</f>
        <v>13284963725</v>
      </c>
      <c r="M51" s="8" t="n">
        <f aca="false">L51-L50</f>
        <v>6599979349</v>
      </c>
      <c r="N51" s="8" t="n">
        <f aca="false">M51-M50</f>
        <v>3373666187</v>
      </c>
      <c r="O51" s="8" t="n">
        <f aca="false">N51-N50</f>
        <v>1887530812</v>
      </c>
      <c r="P51" s="8" t="n">
        <f aca="false">O51-O50</f>
        <v>1322657235</v>
      </c>
      <c r="Q51" s="8" t="n">
        <f aca="false">P51-P50</f>
        <v>1314054864</v>
      </c>
      <c r="R51" s="8" t="n">
        <f aca="false">Q51-Q50</f>
        <v>1735288912</v>
      </c>
      <c r="S51" s="8" t="n">
        <f aca="false">R51-R50</f>
        <v>2595173503</v>
      </c>
      <c r="T51" s="8" t="n">
        <f aca="false">S51-S50</f>
        <v>3986990887</v>
      </c>
      <c r="U51" s="8" t="n">
        <f aca="false">T51-T50</f>
        <v>6058845587</v>
      </c>
      <c r="V51" s="8" t="n">
        <f aca="false">U51-U50</f>
        <v>8987163651</v>
      </c>
      <c r="W51" s="8" t="n">
        <f aca="false">V51-V50</f>
        <v>12942125613</v>
      </c>
      <c r="X51" s="8" t="n">
        <f aca="false">W51-W50</f>
        <v>18038457511</v>
      </c>
      <c r="Y51" s="8" t="n">
        <f aca="false">X51-X50</f>
        <v>24270249282</v>
      </c>
      <c r="Z51" s="8" t="n">
        <f aca="false">Y51-Y50</f>
        <v>31436282993</v>
      </c>
      <c r="AA51" s="8" t="n">
        <f aca="false">Z51-Z50</f>
        <v>39074706306</v>
      </c>
      <c r="AB51" s="8" t="n">
        <f aca="false">AA51-AA50</f>
        <v>46446535916</v>
      </c>
      <c r="AC51" s="8" t="n">
        <f aca="false">AB51-AB50</f>
        <v>52646636758</v>
      </c>
      <c r="AD51" s="8" t="n">
        <f aca="false">AC51-AC50</f>
        <v>57006306570</v>
      </c>
      <c r="AE51" s="8" t="n">
        <f aca="false">AD51-AD50</f>
        <v>60152695261</v>
      </c>
      <c r="AF51" s="8" t="n">
        <f aca="false">AE51-AE50</f>
        <v>66564881411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2" min="2" style="0" width="17"/>
  </cols>
  <sheetData>
    <row r="1" customFormat="false" ht="15" hidden="false" customHeight="false" outlineLevel="0" collapsed="false">
      <c r="A1" s="9" t="s">
        <v>41</v>
      </c>
      <c r="B1" s="9" t="n">
        <v>0</v>
      </c>
      <c r="C1" s="9" t="n">
        <v>1</v>
      </c>
      <c r="D1" s="9" t="n">
        <v>2</v>
      </c>
      <c r="E1" s="9" t="n">
        <v>3</v>
      </c>
      <c r="F1" s="9" t="n">
        <v>4</v>
      </c>
      <c r="G1" s="9" t="n">
        <v>5</v>
      </c>
      <c r="H1" s="9" t="n">
        <v>6</v>
      </c>
      <c r="I1" s="9" t="n">
        <v>7</v>
      </c>
      <c r="J1" s="9" t="n">
        <v>8</v>
      </c>
      <c r="K1" s="9" t="n">
        <v>9</v>
      </c>
      <c r="L1" s="9" t="n">
        <v>10</v>
      </c>
      <c r="M1" s="9" t="n">
        <v>11</v>
      </c>
      <c r="N1" s="9" t="n">
        <v>12</v>
      </c>
      <c r="O1" s="9" t="n">
        <v>13</v>
      </c>
      <c r="P1" s="9" t="n">
        <v>14</v>
      </c>
      <c r="Q1" s="9" t="n">
        <v>15</v>
      </c>
      <c r="R1" s="9" t="n">
        <v>16</v>
      </c>
      <c r="S1" s="9" t="n">
        <v>17</v>
      </c>
      <c r="T1" s="9" t="n">
        <v>18</v>
      </c>
      <c r="U1" s="9" t="n">
        <v>19</v>
      </c>
      <c r="V1" s="9" t="n">
        <v>20</v>
      </c>
      <c r="W1" s="9" t="n">
        <v>21</v>
      </c>
      <c r="X1" s="9" t="n">
        <v>22</v>
      </c>
      <c r="Y1" s="9" t="n">
        <v>23</v>
      </c>
      <c r="Z1" s="9" t="n">
        <v>24</v>
      </c>
      <c r="AA1" s="9" t="n">
        <v>25</v>
      </c>
      <c r="AB1" s="9" t="n">
        <v>26</v>
      </c>
      <c r="AC1" s="9" t="n">
        <v>27</v>
      </c>
      <c r="AD1" s="9" t="n">
        <v>28</v>
      </c>
      <c r="AE1" s="9" t="n">
        <v>29</v>
      </c>
      <c r="AF1" s="9" t="n">
        <v>30</v>
      </c>
    </row>
    <row r="2" customFormat="false" ht="15" hidden="false" customHeight="false" outlineLevel="0" collapsed="false">
      <c r="A2" s="9" t="n">
        <v>1</v>
      </c>
      <c r="B2" s="12" t="n">
        <f aca="false">Counts!C2</f>
        <v>0</v>
      </c>
    </row>
    <row r="3" customFormat="false" ht="15" hidden="false" customHeight="false" outlineLevel="0" collapsed="false">
      <c r="A3" s="9" t="n">
        <v>2</v>
      </c>
      <c r="B3" s="12" t="n">
        <f aca="false">Counts!C3</f>
        <v>1</v>
      </c>
      <c r="C3" s="11" t="n">
        <f aca="false">B3-B2</f>
        <v>1</v>
      </c>
    </row>
    <row r="4" customFormat="false" ht="15" hidden="false" customHeight="false" outlineLevel="0" collapsed="false">
      <c r="A4" s="9" t="n">
        <v>3</v>
      </c>
      <c r="B4" s="12" t="n">
        <f aca="false">Counts!C4</f>
        <v>2</v>
      </c>
      <c r="C4" s="8" t="n">
        <f aca="false">B4-B3</f>
        <v>1</v>
      </c>
      <c r="D4" s="8" t="n">
        <f aca="false">C4-C3</f>
        <v>0</v>
      </c>
    </row>
    <row r="5" customFormat="false" ht="15" hidden="false" customHeight="false" outlineLevel="0" collapsed="false">
      <c r="A5" s="9" t="n">
        <v>4</v>
      </c>
      <c r="B5" s="12" t="n">
        <f aca="false">Counts!C5</f>
        <v>6</v>
      </c>
      <c r="C5" s="11" t="n">
        <f aca="false">B5-B4</f>
        <v>4</v>
      </c>
      <c r="D5" s="8" t="n">
        <f aca="false">C5-C4</f>
        <v>3</v>
      </c>
      <c r="E5" s="8" t="n">
        <f aca="false">D5-D4</f>
        <v>3</v>
      </c>
    </row>
    <row r="6" customFormat="false" ht="15" hidden="false" customHeight="false" outlineLevel="0" collapsed="false">
      <c r="A6" s="9" t="n">
        <v>5</v>
      </c>
      <c r="B6" s="12" t="n">
        <f aca="false">Counts!C6</f>
        <v>11</v>
      </c>
      <c r="C6" s="8" t="n">
        <f aca="false">B6-B5</f>
        <v>5</v>
      </c>
      <c r="D6" s="8" t="n">
        <f aca="false">C6-C5</f>
        <v>1</v>
      </c>
      <c r="E6" s="8" t="n">
        <f aca="false">D6-D5</f>
        <v>-2</v>
      </c>
      <c r="F6" s="8" t="n">
        <f aca="false">E6-E5</f>
        <v>-5</v>
      </c>
    </row>
    <row r="7" customFormat="false" ht="15" hidden="false" customHeight="false" outlineLevel="0" collapsed="false">
      <c r="A7" s="9" t="n">
        <v>6</v>
      </c>
      <c r="B7" s="12" t="n">
        <f aca="false">Counts!C7</f>
        <v>25</v>
      </c>
      <c r="C7" s="8" t="n">
        <f aca="false">B7-B6</f>
        <v>14</v>
      </c>
      <c r="D7" s="8" t="n">
        <f aca="false">C7-C6</f>
        <v>9</v>
      </c>
      <c r="E7" s="8" t="n">
        <f aca="false">D7-D6</f>
        <v>8</v>
      </c>
      <c r="F7" s="8" t="n">
        <f aca="false">E7-E6</f>
        <v>10</v>
      </c>
      <c r="G7" s="8" t="n">
        <f aca="false">F7-F6</f>
        <v>15</v>
      </c>
    </row>
    <row r="8" customFormat="false" ht="15" hidden="false" customHeight="false" outlineLevel="0" collapsed="false">
      <c r="A8" s="9" t="n">
        <v>7</v>
      </c>
      <c r="B8" s="12" t="n">
        <f aca="false">Counts!C8</f>
        <v>51</v>
      </c>
      <c r="C8" s="8" t="n">
        <f aca="false">B8-B7</f>
        <v>26</v>
      </c>
      <c r="D8" s="8" t="n">
        <f aca="false">C8-C7</f>
        <v>12</v>
      </c>
      <c r="E8" s="8" t="n">
        <f aca="false">D8-D7</f>
        <v>3</v>
      </c>
      <c r="F8" s="8" t="n">
        <f aca="false">E8-E7</f>
        <v>-5</v>
      </c>
      <c r="G8" s="8" t="n">
        <f aca="false">F8-F7</f>
        <v>-15</v>
      </c>
      <c r="H8" s="8" t="n">
        <f aca="false">G8-G7</f>
        <v>-30</v>
      </c>
    </row>
    <row r="9" customFormat="false" ht="15" hidden="false" customHeight="false" outlineLevel="0" collapsed="false">
      <c r="A9" s="9" t="n">
        <v>8</v>
      </c>
      <c r="B9" s="12" t="n">
        <f aca="false">Counts!C9</f>
        <v>105</v>
      </c>
      <c r="C9" s="8" t="n">
        <f aca="false">B9-B8</f>
        <v>54</v>
      </c>
      <c r="D9" s="8" t="n">
        <f aca="false">C9-C8</f>
        <v>28</v>
      </c>
      <c r="E9" s="11" t="n">
        <f aca="false">D9-D8</f>
        <v>16</v>
      </c>
      <c r="F9" s="8" t="n">
        <f aca="false">E9-E8</f>
        <v>13</v>
      </c>
      <c r="G9" s="8" t="n">
        <f aca="false">F9-F8</f>
        <v>18</v>
      </c>
      <c r="H9" s="8" t="n">
        <f aca="false">G9-G8</f>
        <v>33</v>
      </c>
      <c r="I9" s="8" t="n">
        <f aca="false">H9-H8</f>
        <v>63</v>
      </c>
    </row>
    <row r="10" customFormat="false" ht="15" hidden="false" customHeight="false" outlineLevel="0" collapsed="false">
      <c r="A10" s="9" t="n">
        <v>9</v>
      </c>
      <c r="B10" s="12" t="n">
        <f aca="false">Counts!C10</f>
        <v>213</v>
      </c>
      <c r="C10" s="8" t="n">
        <f aca="false">B10-B9</f>
        <v>108</v>
      </c>
      <c r="D10" s="8" t="n">
        <f aca="false">C10-C9</f>
        <v>54</v>
      </c>
      <c r="E10" s="8" t="n">
        <f aca="false">D10-D9</f>
        <v>26</v>
      </c>
      <c r="F10" s="8" t="n">
        <f aca="false">E10-E9</f>
        <v>10</v>
      </c>
      <c r="G10" s="8" t="n">
        <f aca="false">F10-F9</f>
        <v>-3</v>
      </c>
      <c r="H10" s="8" t="n">
        <f aca="false">G10-G9</f>
        <v>-21</v>
      </c>
      <c r="I10" s="8" t="n">
        <f aca="false">H10-H9</f>
        <v>-54</v>
      </c>
      <c r="J10" s="8" t="n">
        <f aca="false">I10-I9</f>
        <v>-117</v>
      </c>
    </row>
    <row r="11" customFormat="false" ht="15" hidden="false" customHeight="false" outlineLevel="0" collapsed="false">
      <c r="A11" s="9" t="n">
        <v>10</v>
      </c>
      <c r="B11" s="12" t="n">
        <f aca="false">Counts!C11</f>
        <v>437</v>
      </c>
      <c r="C11" s="8" t="n">
        <f aca="false">B11-B10</f>
        <v>224</v>
      </c>
      <c r="D11" s="8" t="n">
        <f aca="false">C11-C10</f>
        <v>116</v>
      </c>
      <c r="E11" s="8" t="n">
        <f aca="false">D11-D10</f>
        <v>62</v>
      </c>
      <c r="F11" s="8" t="n">
        <f aca="false">E11-E10</f>
        <v>36</v>
      </c>
      <c r="G11" s="8" t="n">
        <f aca="false">F11-F10</f>
        <v>26</v>
      </c>
      <c r="H11" s="8" t="n">
        <f aca="false">G11-G10</f>
        <v>29</v>
      </c>
      <c r="I11" s="8" t="n">
        <f aca="false">H11-H10</f>
        <v>50</v>
      </c>
      <c r="J11" s="8" t="n">
        <f aca="false">I11-I10</f>
        <v>104</v>
      </c>
      <c r="K11" s="8" t="n">
        <f aca="false">J11-J10</f>
        <v>221</v>
      </c>
    </row>
    <row r="12" customFormat="false" ht="15" hidden="false" customHeight="false" outlineLevel="0" collapsed="false">
      <c r="A12" s="9" t="n">
        <v>11</v>
      </c>
      <c r="B12" s="12" t="n">
        <f aca="false">Counts!C12</f>
        <v>887</v>
      </c>
      <c r="C12" s="8" t="n">
        <f aca="false">B12-B11</f>
        <v>450</v>
      </c>
      <c r="D12" s="8" t="n">
        <f aca="false">C12-C11</f>
        <v>226</v>
      </c>
      <c r="E12" s="8" t="n">
        <f aca="false">D12-D11</f>
        <v>110</v>
      </c>
      <c r="F12" s="8" t="n">
        <f aca="false">E12-E11</f>
        <v>48</v>
      </c>
      <c r="G12" s="8" t="n">
        <f aca="false">F12-F11</f>
        <v>12</v>
      </c>
      <c r="H12" s="8" t="n">
        <f aca="false">G12-G11</f>
        <v>-14</v>
      </c>
      <c r="I12" s="8" t="n">
        <f aca="false">H12-H11</f>
        <v>-43</v>
      </c>
      <c r="J12" s="8" t="n">
        <f aca="false">I12-I11</f>
        <v>-93</v>
      </c>
      <c r="K12" s="8" t="n">
        <f aca="false">J12-J11</f>
        <v>-197</v>
      </c>
      <c r="L12" s="8" t="n">
        <f aca="false">K12-K11</f>
        <v>-418</v>
      </c>
    </row>
    <row r="13" customFormat="false" ht="15" hidden="false" customHeight="false" outlineLevel="0" collapsed="false">
      <c r="A13" s="9" t="n">
        <v>12</v>
      </c>
      <c r="B13" s="12" t="n">
        <f aca="false">Counts!C13</f>
        <v>1793</v>
      </c>
      <c r="C13" s="8" t="n">
        <f aca="false">B13-B12</f>
        <v>906</v>
      </c>
      <c r="D13" s="8" t="n">
        <f aca="false">C13-C12</f>
        <v>456</v>
      </c>
      <c r="E13" s="8" t="n">
        <f aca="false">D13-D12</f>
        <v>230</v>
      </c>
      <c r="F13" s="8" t="n">
        <f aca="false">E13-E12</f>
        <v>120</v>
      </c>
      <c r="G13" s="8" t="n">
        <f aca="false">F13-F12</f>
        <v>72</v>
      </c>
      <c r="H13" s="8" t="n">
        <f aca="false">G13-G12</f>
        <v>60</v>
      </c>
      <c r="I13" s="8" t="n">
        <f aca="false">H13-H12</f>
        <v>74</v>
      </c>
      <c r="J13" s="8" t="n">
        <f aca="false">I13-I12</f>
        <v>117</v>
      </c>
      <c r="K13" s="8" t="n">
        <f aca="false">J13-J12</f>
        <v>210</v>
      </c>
      <c r="L13" s="8" t="n">
        <f aca="false">K13-K12</f>
        <v>407</v>
      </c>
      <c r="M13" s="8" t="n">
        <f aca="false">L13-L12</f>
        <v>825</v>
      </c>
    </row>
    <row r="14" customFormat="false" ht="15" hidden="false" customHeight="false" outlineLevel="0" collapsed="false">
      <c r="A14" s="9" t="n">
        <v>13</v>
      </c>
      <c r="B14" s="12" t="n">
        <f aca="false">Counts!C14</f>
        <v>3632</v>
      </c>
      <c r="C14" s="8" t="n">
        <f aca="false">B14-B13</f>
        <v>1839</v>
      </c>
      <c r="D14" s="8" t="n">
        <f aca="false">C14-C13</f>
        <v>933</v>
      </c>
      <c r="E14" s="8" t="n">
        <f aca="false">D14-D13</f>
        <v>477</v>
      </c>
      <c r="F14" s="8" t="n">
        <f aca="false">E14-E13</f>
        <v>247</v>
      </c>
      <c r="G14" s="8" t="n">
        <f aca="false">F14-F13</f>
        <v>127</v>
      </c>
      <c r="H14" s="8" t="n">
        <f aca="false">G14-G13</f>
        <v>55</v>
      </c>
      <c r="I14" s="8" t="n">
        <f aca="false">H14-H13</f>
        <v>-5</v>
      </c>
      <c r="J14" s="8" t="n">
        <f aca="false">I14-I13</f>
        <v>-79</v>
      </c>
      <c r="K14" s="8" t="n">
        <f aca="false">J14-J13</f>
        <v>-196</v>
      </c>
      <c r="L14" s="8" t="n">
        <f aca="false">K14-K13</f>
        <v>-406</v>
      </c>
      <c r="M14" s="8" t="n">
        <f aca="false">L14-L13</f>
        <v>-813</v>
      </c>
      <c r="N14" s="8" t="n">
        <f aca="false">M14-M13</f>
        <v>-1638</v>
      </c>
    </row>
    <row r="15" customFormat="false" ht="15" hidden="false" customHeight="false" outlineLevel="0" collapsed="false">
      <c r="A15" s="9" t="n">
        <v>14</v>
      </c>
      <c r="B15" s="12" t="n">
        <f aca="false">Counts!C15</f>
        <v>7320</v>
      </c>
      <c r="C15" s="8" t="n">
        <f aca="false">B15-B14</f>
        <v>3688</v>
      </c>
      <c r="D15" s="8" t="n">
        <f aca="false">C15-C14</f>
        <v>1849</v>
      </c>
      <c r="E15" s="8" t="n">
        <f aca="false">D15-D14</f>
        <v>916</v>
      </c>
      <c r="F15" s="8" t="n">
        <f aca="false">E15-E14</f>
        <v>439</v>
      </c>
      <c r="G15" s="8" t="n">
        <f aca="false">F15-F14</f>
        <v>192</v>
      </c>
      <c r="H15" s="8" t="n">
        <f aca="false">G15-G14</f>
        <v>65</v>
      </c>
      <c r="I15" s="8" t="n">
        <f aca="false">H15-H14</f>
        <v>10</v>
      </c>
      <c r="J15" s="8" t="n">
        <f aca="false">I15-I14</f>
        <v>15</v>
      </c>
      <c r="K15" s="8" t="n">
        <f aca="false">J15-J14</f>
        <v>94</v>
      </c>
      <c r="L15" s="8" t="n">
        <f aca="false">K15-K14</f>
        <v>290</v>
      </c>
      <c r="M15" s="8" t="n">
        <f aca="false">L15-L14</f>
        <v>696</v>
      </c>
      <c r="N15" s="8" t="n">
        <f aca="false">M15-M14</f>
        <v>1509</v>
      </c>
      <c r="O15" s="8" t="n">
        <f aca="false">N15-N14</f>
        <v>3147</v>
      </c>
    </row>
    <row r="16" customFormat="false" ht="15" hidden="false" customHeight="false" outlineLevel="0" collapsed="false">
      <c r="A16" s="9" t="n">
        <v>15</v>
      </c>
      <c r="B16" s="12" t="n">
        <f aca="false">Counts!C16</f>
        <v>14772</v>
      </c>
      <c r="C16" s="8" t="n">
        <f aca="false">B16-B15</f>
        <v>7452</v>
      </c>
      <c r="D16" s="8" t="n">
        <f aca="false">C16-C15</f>
        <v>3764</v>
      </c>
      <c r="E16" s="8" t="n">
        <f aca="false">D16-D15</f>
        <v>1915</v>
      </c>
      <c r="F16" s="8" t="n">
        <f aca="false">E16-E15</f>
        <v>999</v>
      </c>
      <c r="G16" s="8" t="n">
        <f aca="false">F16-F15</f>
        <v>560</v>
      </c>
      <c r="H16" s="8" t="n">
        <f aca="false">G16-G15</f>
        <v>368</v>
      </c>
      <c r="I16" s="8" t="n">
        <f aca="false">H16-H15</f>
        <v>303</v>
      </c>
      <c r="J16" s="8" t="n">
        <f aca="false">I16-I15</f>
        <v>293</v>
      </c>
      <c r="K16" s="8" t="n">
        <f aca="false">J16-J15</f>
        <v>278</v>
      </c>
      <c r="L16" s="8" t="n">
        <f aca="false">K16-K15</f>
        <v>184</v>
      </c>
      <c r="M16" s="8" t="n">
        <f aca="false">L16-L15</f>
        <v>-106</v>
      </c>
      <c r="N16" s="8" t="n">
        <f aca="false">M16-M15</f>
        <v>-802</v>
      </c>
      <c r="O16" s="8" t="n">
        <f aca="false">N16-N15</f>
        <v>-2311</v>
      </c>
      <c r="P16" s="8" t="n">
        <f aca="false">O16-O15</f>
        <v>-5458</v>
      </c>
    </row>
    <row r="17" customFormat="false" ht="15" hidden="false" customHeight="false" outlineLevel="0" collapsed="false">
      <c r="A17" s="9" t="n">
        <v>16</v>
      </c>
      <c r="B17" s="12" t="n">
        <f aca="false">Counts!C17</f>
        <v>29738</v>
      </c>
      <c r="C17" s="8" t="n">
        <f aca="false">B17-B16</f>
        <v>14966</v>
      </c>
      <c r="D17" s="8" t="n">
        <f aca="false">C17-C16</f>
        <v>7514</v>
      </c>
      <c r="E17" s="8" t="n">
        <f aca="false">D17-D16</f>
        <v>3750</v>
      </c>
      <c r="F17" s="8" t="n">
        <f aca="false">E17-E16</f>
        <v>1835</v>
      </c>
      <c r="G17" s="8" t="n">
        <f aca="false">F17-F16</f>
        <v>836</v>
      </c>
      <c r="H17" s="8" t="n">
        <f aca="false">G17-G16</f>
        <v>276</v>
      </c>
      <c r="I17" s="8" t="n">
        <f aca="false">H17-H16</f>
        <v>-92</v>
      </c>
      <c r="J17" s="8" t="n">
        <f aca="false">I17-I16</f>
        <v>-395</v>
      </c>
      <c r="K17" s="8" t="n">
        <f aca="false">J17-J16</f>
        <v>-688</v>
      </c>
      <c r="L17" s="8" t="n">
        <f aca="false">K17-K16</f>
        <v>-966</v>
      </c>
      <c r="M17" s="8" t="n">
        <f aca="false">L17-L16</f>
        <v>-1150</v>
      </c>
      <c r="N17" s="8" t="n">
        <f aca="false">M17-M16</f>
        <v>-1044</v>
      </c>
      <c r="O17" s="8" t="n">
        <f aca="false">N17-N16</f>
        <v>-242</v>
      </c>
      <c r="P17" s="8" t="n">
        <f aca="false">O17-O16</f>
        <v>2069</v>
      </c>
      <c r="Q17" s="8" t="n">
        <f aca="false">P17-P16</f>
        <v>7527</v>
      </c>
    </row>
    <row r="18" customFormat="false" ht="15" hidden="false" customHeight="false" outlineLevel="0" collapsed="false">
      <c r="A18" s="9" t="n">
        <v>17</v>
      </c>
      <c r="B18" s="12" t="n">
        <f aca="false">Counts!C18</f>
        <v>59827</v>
      </c>
      <c r="C18" s="8" t="n">
        <f aca="false">B18-B17</f>
        <v>30089</v>
      </c>
      <c r="D18" s="8" t="n">
        <f aca="false">C18-C17</f>
        <v>15123</v>
      </c>
      <c r="E18" s="8" t="n">
        <f aca="false">D18-D17</f>
        <v>7609</v>
      </c>
      <c r="F18" s="8" t="n">
        <f aca="false">E18-E17</f>
        <v>3859</v>
      </c>
      <c r="G18" s="8" t="n">
        <f aca="false">F18-F17</f>
        <v>2024</v>
      </c>
      <c r="H18" s="8" t="n">
        <f aca="false">G18-G17</f>
        <v>1188</v>
      </c>
      <c r="I18" s="8" t="n">
        <f aca="false">H18-H17</f>
        <v>912</v>
      </c>
      <c r="J18" s="8" t="n">
        <f aca="false">I18-I17</f>
        <v>1004</v>
      </c>
      <c r="K18" s="8" t="n">
        <f aca="false">J18-J17</f>
        <v>1399</v>
      </c>
      <c r="L18" s="8" t="n">
        <f aca="false">K18-K17</f>
        <v>2087</v>
      </c>
      <c r="M18" s="8" t="n">
        <f aca="false">L18-L17</f>
        <v>3053</v>
      </c>
      <c r="N18" s="8" t="n">
        <f aca="false">M18-M17</f>
        <v>4203</v>
      </c>
      <c r="O18" s="8" t="n">
        <f aca="false">N18-N17</f>
        <v>5247</v>
      </c>
      <c r="P18" s="8" t="n">
        <f aca="false">O18-O17</f>
        <v>5489</v>
      </c>
      <c r="Q18" s="8" t="n">
        <f aca="false">P18-P17</f>
        <v>3420</v>
      </c>
      <c r="R18" s="8" t="n">
        <f aca="false">Q18-Q17</f>
        <v>-4107</v>
      </c>
    </row>
    <row r="19" customFormat="false" ht="15" hidden="false" customHeight="false" outlineLevel="0" collapsed="false">
      <c r="A19" s="9" t="n">
        <v>18</v>
      </c>
      <c r="B19" s="12" t="n">
        <f aca="false">Counts!C19</f>
        <v>120323</v>
      </c>
      <c r="C19" s="8" t="n">
        <f aca="false">B19-B18</f>
        <v>60496</v>
      </c>
      <c r="D19" s="8" t="n">
        <f aca="false">C19-C18</f>
        <v>30407</v>
      </c>
      <c r="E19" s="8" t="n">
        <f aca="false">D19-D18</f>
        <v>15284</v>
      </c>
      <c r="F19" s="8" t="n">
        <f aca="false">E19-E18</f>
        <v>7675</v>
      </c>
      <c r="G19" s="8" t="n">
        <f aca="false">F19-F18</f>
        <v>3816</v>
      </c>
      <c r="H19" s="8" t="n">
        <f aca="false">G19-G18</f>
        <v>1792</v>
      </c>
      <c r="I19" s="8" t="n">
        <f aca="false">H19-H18</f>
        <v>604</v>
      </c>
      <c r="J19" s="8" t="n">
        <f aca="false">I19-I18</f>
        <v>-308</v>
      </c>
      <c r="K19" s="8" t="n">
        <f aca="false">J19-J18</f>
        <v>-1312</v>
      </c>
      <c r="L19" s="8" t="n">
        <f aca="false">K19-K18</f>
        <v>-2711</v>
      </c>
      <c r="M19" s="8" t="n">
        <f aca="false">L19-L18</f>
        <v>-4798</v>
      </c>
      <c r="N19" s="8" t="n">
        <f aca="false">M19-M18</f>
        <v>-7851</v>
      </c>
      <c r="O19" s="8" t="n">
        <f aca="false">N19-N18</f>
        <v>-12054</v>
      </c>
      <c r="P19" s="8" t="n">
        <f aca="false">O19-O18</f>
        <v>-17301</v>
      </c>
      <c r="Q19" s="8" t="n">
        <f aca="false">P19-P18</f>
        <v>-22790</v>
      </c>
      <c r="R19" s="8" t="n">
        <f aca="false">Q19-Q18</f>
        <v>-26210</v>
      </c>
      <c r="S19" s="8" t="n">
        <f aca="false">R19-R18</f>
        <v>-22103</v>
      </c>
    </row>
    <row r="20" customFormat="false" ht="15" hidden="false" customHeight="false" outlineLevel="0" collapsed="false">
      <c r="A20" s="9" t="n">
        <v>19</v>
      </c>
      <c r="B20" s="12" t="n">
        <f aca="false">Counts!C20</f>
        <v>241754</v>
      </c>
      <c r="C20" s="8" t="n">
        <f aca="false">B20-B19</f>
        <v>121431</v>
      </c>
      <c r="D20" s="8" t="n">
        <f aca="false">C20-C19</f>
        <v>60935</v>
      </c>
      <c r="E20" s="8" t="n">
        <f aca="false">D20-D19</f>
        <v>30528</v>
      </c>
      <c r="F20" s="8" t="n">
        <f aca="false">E20-E19</f>
        <v>15244</v>
      </c>
      <c r="G20" s="8" t="n">
        <f aca="false">F20-F19</f>
        <v>7569</v>
      </c>
      <c r="H20" s="8" t="n">
        <f aca="false">G20-G19</f>
        <v>3753</v>
      </c>
      <c r="I20" s="8" t="n">
        <f aca="false">H20-H19</f>
        <v>1961</v>
      </c>
      <c r="J20" s="8" t="n">
        <f aca="false">I20-I19</f>
        <v>1357</v>
      </c>
      <c r="K20" s="8" t="n">
        <f aca="false">J20-J19</f>
        <v>1665</v>
      </c>
      <c r="L20" s="8" t="n">
        <f aca="false">K20-K19</f>
        <v>2977</v>
      </c>
      <c r="M20" s="8" t="n">
        <f aca="false">L20-L19</f>
        <v>5688</v>
      </c>
      <c r="N20" s="8" t="n">
        <f aca="false">M20-M19</f>
        <v>10486</v>
      </c>
      <c r="O20" s="8" t="n">
        <f aca="false">N20-N19</f>
        <v>18337</v>
      </c>
      <c r="P20" s="8" t="n">
        <f aca="false">O20-O19</f>
        <v>30391</v>
      </c>
      <c r="Q20" s="8" t="n">
        <f aca="false">P20-P19</f>
        <v>47692</v>
      </c>
      <c r="R20" s="8" t="n">
        <f aca="false">Q20-Q19</f>
        <v>70482</v>
      </c>
      <c r="S20" s="8" t="n">
        <f aca="false">R20-R19</f>
        <v>96692</v>
      </c>
      <c r="T20" s="8" t="n">
        <f aca="false">S20-S19</f>
        <v>118795</v>
      </c>
    </row>
    <row r="21" customFormat="false" ht="15" hidden="false" customHeight="false" outlineLevel="0" collapsed="false">
      <c r="A21" s="9" t="n">
        <v>20</v>
      </c>
      <c r="B21" s="12" t="n">
        <f aca="false">Counts!C21</f>
        <v>485653</v>
      </c>
      <c r="C21" s="8" t="n">
        <f aca="false">B21-B20</f>
        <v>243899</v>
      </c>
      <c r="D21" s="8" t="n">
        <f aca="false">C21-C20</f>
        <v>122468</v>
      </c>
      <c r="E21" s="8" t="n">
        <f aca="false">D21-D20</f>
        <v>61533</v>
      </c>
      <c r="F21" s="8" t="n">
        <f aca="false">E21-E20</f>
        <v>31005</v>
      </c>
      <c r="G21" s="8" t="n">
        <f aca="false">F21-F20</f>
        <v>15761</v>
      </c>
      <c r="H21" s="11" t="n">
        <f aca="false">G21-G20</f>
        <v>8192</v>
      </c>
      <c r="I21" s="8" t="n">
        <f aca="false">H21-H20</f>
        <v>4439</v>
      </c>
      <c r="J21" s="8" t="n">
        <f aca="false">I21-I20</f>
        <v>2478</v>
      </c>
      <c r="K21" s="8" t="n">
        <f aca="false">J21-J20</f>
        <v>1121</v>
      </c>
      <c r="L21" s="8" t="n">
        <f aca="false">K21-K20</f>
        <v>-544</v>
      </c>
      <c r="M21" s="8" t="n">
        <f aca="false">L21-L20</f>
        <v>-3521</v>
      </c>
      <c r="N21" s="8" t="n">
        <f aca="false">M21-M20</f>
        <v>-9209</v>
      </c>
      <c r="O21" s="8" t="n">
        <f aca="false">N21-N20</f>
        <v>-19695</v>
      </c>
      <c r="P21" s="8" t="n">
        <f aca="false">O21-O20</f>
        <v>-38032</v>
      </c>
      <c r="Q21" s="8" t="n">
        <f aca="false">P21-P20</f>
        <v>-68423</v>
      </c>
      <c r="R21" s="8" t="n">
        <f aca="false">Q21-Q20</f>
        <v>-116115</v>
      </c>
      <c r="S21" s="8" t="n">
        <f aca="false">R21-R20</f>
        <v>-186597</v>
      </c>
      <c r="T21" s="8" t="n">
        <f aca="false">S21-S20</f>
        <v>-283289</v>
      </c>
      <c r="U21" s="8" t="n">
        <f aca="false">T21-T20</f>
        <v>-402084</v>
      </c>
    </row>
    <row r="22" customFormat="false" ht="15" hidden="false" customHeight="false" outlineLevel="0" collapsed="false">
      <c r="A22" s="9" t="n">
        <v>21</v>
      </c>
      <c r="B22" s="12" t="n">
        <f aca="false">Counts!C22</f>
        <v>974990</v>
      </c>
      <c r="C22" s="8" t="n">
        <f aca="false">B22-B21</f>
        <v>489337</v>
      </c>
      <c r="D22" s="8" t="n">
        <f aca="false">C22-C21</f>
        <v>245438</v>
      </c>
      <c r="E22" s="8" t="n">
        <f aca="false">D22-D21</f>
        <v>122970</v>
      </c>
      <c r="F22" s="8" t="n">
        <f aca="false">E22-E21</f>
        <v>61437</v>
      </c>
      <c r="G22" s="8" t="n">
        <f aca="false">F22-F21</f>
        <v>30432</v>
      </c>
      <c r="H22" s="8" t="n">
        <f aca="false">G22-G21</f>
        <v>14671</v>
      </c>
      <c r="I22" s="8" t="n">
        <f aca="false">H22-H21</f>
        <v>6479</v>
      </c>
      <c r="J22" s="8" t="n">
        <f aca="false">I22-I21</f>
        <v>2040</v>
      </c>
      <c r="K22" s="8" t="n">
        <f aca="false">J22-J21</f>
        <v>-438</v>
      </c>
      <c r="L22" s="8" t="n">
        <f aca="false">K22-K21</f>
        <v>-1559</v>
      </c>
      <c r="M22" s="8" t="n">
        <f aca="false">L22-L21</f>
        <v>-1015</v>
      </c>
      <c r="N22" s="8" t="n">
        <f aca="false">M22-M21</f>
        <v>2506</v>
      </c>
      <c r="O22" s="8" t="n">
        <f aca="false">N22-N21</f>
        <v>11715</v>
      </c>
      <c r="P22" s="8" t="n">
        <f aca="false">O22-O21</f>
        <v>31410</v>
      </c>
      <c r="Q22" s="8" t="n">
        <f aca="false">P22-P21</f>
        <v>69442</v>
      </c>
      <c r="R22" s="8" t="n">
        <f aca="false">Q22-Q21</f>
        <v>137865</v>
      </c>
      <c r="S22" s="8" t="n">
        <f aca="false">R22-R21</f>
        <v>253980</v>
      </c>
      <c r="T22" s="8" t="n">
        <f aca="false">S22-S21</f>
        <v>440577</v>
      </c>
      <c r="U22" s="8" t="n">
        <f aca="false">T22-T21</f>
        <v>723866</v>
      </c>
      <c r="V22" s="8" t="n">
        <f aca="false">U22-U21</f>
        <v>1125950</v>
      </c>
    </row>
    <row r="23" customFormat="false" ht="15" hidden="false" customHeight="false" outlineLevel="0" collapsed="false">
      <c r="A23" s="9" t="n">
        <v>22</v>
      </c>
      <c r="B23" s="12" t="n">
        <f aca="false">Counts!C23</f>
        <v>1956816</v>
      </c>
      <c r="C23" s="8" t="n">
        <f aca="false">B23-B22</f>
        <v>981826</v>
      </c>
      <c r="D23" s="8" t="n">
        <f aca="false">C23-C22</f>
        <v>492489</v>
      </c>
      <c r="E23" s="8" t="n">
        <f aca="false">D23-D22</f>
        <v>247051</v>
      </c>
      <c r="F23" s="8" t="n">
        <f aca="false">E23-E22</f>
        <v>124081</v>
      </c>
      <c r="G23" s="8" t="n">
        <f aca="false">F23-F22</f>
        <v>62644</v>
      </c>
      <c r="H23" s="8" t="n">
        <f aca="false">G23-G22</f>
        <v>32212</v>
      </c>
      <c r="I23" s="8" t="n">
        <f aca="false">H23-H22</f>
        <v>17541</v>
      </c>
      <c r="J23" s="8" t="n">
        <f aca="false">I23-I22</f>
        <v>11062</v>
      </c>
      <c r="K23" s="8" t="n">
        <f aca="false">J23-J22</f>
        <v>9022</v>
      </c>
      <c r="L23" s="8" t="n">
        <f aca="false">K23-K22</f>
        <v>9460</v>
      </c>
      <c r="M23" s="8" t="n">
        <f aca="false">L23-L22</f>
        <v>11019</v>
      </c>
      <c r="N23" s="8" t="n">
        <f aca="false">M23-M22</f>
        <v>12034</v>
      </c>
      <c r="O23" s="8" t="n">
        <f aca="false">N23-N22</f>
        <v>9528</v>
      </c>
      <c r="P23" s="8" t="n">
        <f aca="false">O23-O22</f>
        <v>-2187</v>
      </c>
      <c r="Q23" s="8" t="n">
        <f aca="false">P23-P22</f>
        <v>-33597</v>
      </c>
      <c r="R23" s="8" t="n">
        <f aca="false">Q23-Q22</f>
        <v>-103039</v>
      </c>
      <c r="S23" s="8" t="n">
        <f aca="false">R23-R22</f>
        <v>-240904</v>
      </c>
      <c r="T23" s="8" t="n">
        <f aca="false">S23-S22</f>
        <v>-494884</v>
      </c>
      <c r="U23" s="8" t="n">
        <f aca="false">T23-T22</f>
        <v>-935461</v>
      </c>
      <c r="V23" s="8" t="n">
        <f aca="false">U23-U22</f>
        <v>-1659327</v>
      </c>
      <c r="W23" s="8" t="n">
        <f aca="false">V23-V22</f>
        <v>-2785277</v>
      </c>
    </row>
    <row r="24" customFormat="false" ht="15" hidden="false" customHeight="false" outlineLevel="0" collapsed="false">
      <c r="A24" s="9" t="n">
        <v>23</v>
      </c>
      <c r="B24" s="12" t="n">
        <f aca="false">Counts!C24</f>
        <v>3926088</v>
      </c>
      <c r="C24" s="8" t="n">
        <f aca="false">B24-B23</f>
        <v>1969272</v>
      </c>
      <c r="D24" s="8" t="n">
        <f aca="false">C24-C23</f>
        <v>987446</v>
      </c>
      <c r="E24" s="8" t="n">
        <f aca="false">D24-D23</f>
        <v>494957</v>
      </c>
      <c r="F24" s="8" t="n">
        <f aca="false">E24-E23</f>
        <v>247906</v>
      </c>
      <c r="G24" s="8" t="n">
        <f aca="false">F24-F23</f>
        <v>123825</v>
      </c>
      <c r="H24" s="8" t="n">
        <f aca="false">G24-G23</f>
        <v>61181</v>
      </c>
      <c r="I24" s="8" t="n">
        <f aca="false">H24-H23</f>
        <v>28969</v>
      </c>
      <c r="J24" s="8" t="n">
        <f aca="false">I24-I23</f>
        <v>11428</v>
      </c>
      <c r="K24" s="8" t="n">
        <f aca="false">J24-J23</f>
        <v>366</v>
      </c>
      <c r="L24" s="8" t="n">
        <f aca="false">K24-K23</f>
        <v>-8656</v>
      </c>
      <c r="M24" s="8" t="n">
        <f aca="false">L24-L23</f>
        <v>-18116</v>
      </c>
      <c r="N24" s="8" t="n">
        <f aca="false">M24-M23</f>
        <v>-29135</v>
      </c>
      <c r="O24" s="8" t="n">
        <f aca="false">N24-N23</f>
        <v>-41169</v>
      </c>
      <c r="P24" s="8" t="n">
        <f aca="false">O24-O23</f>
        <v>-50697</v>
      </c>
      <c r="Q24" s="8" t="n">
        <f aca="false">P24-P23</f>
        <v>-48510</v>
      </c>
      <c r="R24" s="8" t="n">
        <f aca="false">Q24-Q23</f>
        <v>-14913</v>
      </c>
      <c r="S24" s="8" t="n">
        <f aca="false">R24-R23</f>
        <v>88126</v>
      </c>
      <c r="T24" s="8" t="n">
        <f aca="false">S24-S23</f>
        <v>329030</v>
      </c>
      <c r="U24" s="8" t="n">
        <f aca="false">T24-T23</f>
        <v>823914</v>
      </c>
      <c r="V24" s="8" t="n">
        <f aca="false">U24-U23</f>
        <v>1759375</v>
      </c>
      <c r="W24" s="8" t="n">
        <f aca="false">V24-V23</f>
        <v>3418702</v>
      </c>
      <c r="X24" s="8" t="n">
        <f aca="false">W24-W23</f>
        <v>6203979</v>
      </c>
    </row>
    <row r="25" customFormat="false" ht="15" hidden="false" customHeight="false" outlineLevel="0" collapsed="false">
      <c r="A25" s="9" t="n">
        <v>24</v>
      </c>
      <c r="B25" s="12" t="n">
        <f aca="false">Counts!C25</f>
        <v>7874900</v>
      </c>
      <c r="C25" s="8" t="n">
        <f aca="false">B25-B24</f>
        <v>3948812</v>
      </c>
      <c r="D25" s="8" t="n">
        <f aca="false">C25-C24</f>
        <v>1979540</v>
      </c>
      <c r="E25" s="8" t="n">
        <f aca="false">D25-D24</f>
        <v>992094</v>
      </c>
      <c r="F25" s="8" t="n">
        <f aca="false">E25-E24</f>
        <v>497137</v>
      </c>
      <c r="G25" s="8" t="n">
        <f aca="false">F25-F24</f>
        <v>249231</v>
      </c>
      <c r="H25" s="8" t="n">
        <f aca="false">G25-G24</f>
        <v>125406</v>
      </c>
      <c r="I25" s="8" t="n">
        <f aca="false">H25-H24</f>
        <v>64225</v>
      </c>
      <c r="J25" s="8" t="n">
        <f aca="false">I25-I24</f>
        <v>35256</v>
      </c>
      <c r="K25" s="8" t="n">
        <f aca="false">J25-J24</f>
        <v>23828</v>
      </c>
      <c r="L25" s="8" t="n">
        <f aca="false">K25-K24</f>
        <v>23462</v>
      </c>
      <c r="M25" s="8" t="n">
        <f aca="false">L25-L24</f>
        <v>32118</v>
      </c>
      <c r="N25" s="8" t="n">
        <f aca="false">M25-M24</f>
        <v>50234</v>
      </c>
      <c r="O25" s="8" t="n">
        <f aca="false">N25-N24</f>
        <v>79369</v>
      </c>
      <c r="P25" s="8" t="n">
        <f aca="false">O25-O24</f>
        <v>120538</v>
      </c>
      <c r="Q25" s="8" t="n">
        <f aca="false">P25-P24</f>
        <v>171235</v>
      </c>
      <c r="R25" s="8" t="n">
        <f aca="false">Q25-Q24</f>
        <v>219745</v>
      </c>
      <c r="S25" s="8" t="n">
        <f aca="false">R25-R24</f>
        <v>234658</v>
      </c>
      <c r="T25" s="8" t="n">
        <f aca="false">S25-S24</f>
        <v>146532</v>
      </c>
      <c r="U25" s="8" t="n">
        <f aca="false">T25-T24</f>
        <v>-182498</v>
      </c>
      <c r="V25" s="8" t="n">
        <f aca="false">U25-U24</f>
        <v>-1006412</v>
      </c>
      <c r="W25" s="8" t="n">
        <f aca="false">V25-V24</f>
        <v>-2765787</v>
      </c>
      <c r="X25" s="8" t="n">
        <f aca="false">W25-W24</f>
        <v>-6184489</v>
      </c>
      <c r="Y25" s="8" t="n">
        <f aca="false">X25-X24</f>
        <v>-12388468</v>
      </c>
    </row>
    <row r="26" customFormat="false" ht="15" hidden="false" customHeight="false" outlineLevel="0" collapsed="false">
      <c r="A26" s="9" t="n">
        <v>25</v>
      </c>
      <c r="B26" s="12" t="n">
        <f aca="false">Counts!C26</f>
        <v>15791398</v>
      </c>
      <c r="C26" s="8" t="n">
        <f aca="false">B26-B25</f>
        <v>7916498</v>
      </c>
      <c r="D26" s="8" t="n">
        <f aca="false">C26-C25</f>
        <v>3967686</v>
      </c>
      <c r="E26" s="8" t="n">
        <f aca="false">D26-D25</f>
        <v>1988146</v>
      </c>
      <c r="F26" s="8" t="n">
        <f aca="false">E26-E25</f>
        <v>996052</v>
      </c>
      <c r="G26" s="8" t="n">
        <f aca="false">F26-F25</f>
        <v>498915</v>
      </c>
      <c r="H26" s="8" t="n">
        <f aca="false">G26-G25</f>
        <v>249684</v>
      </c>
      <c r="I26" s="8" t="n">
        <f aca="false">H26-H25</f>
        <v>124278</v>
      </c>
      <c r="J26" s="8" t="n">
        <f aca="false">I26-I25</f>
        <v>60053</v>
      </c>
      <c r="K26" s="8" t="n">
        <f aca="false">J26-J25</f>
        <v>24797</v>
      </c>
      <c r="L26" s="8" t="n">
        <f aca="false">K26-K25</f>
        <v>969</v>
      </c>
      <c r="M26" s="8" t="n">
        <f aca="false">L26-L25</f>
        <v>-22493</v>
      </c>
      <c r="N26" s="8" t="n">
        <f aca="false">M26-M25</f>
        <v>-54611</v>
      </c>
      <c r="O26" s="8" t="n">
        <f aca="false">N26-N25</f>
        <v>-104845</v>
      </c>
      <c r="P26" s="8" t="n">
        <f aca="false">O26-O25</f>
        <v>-184214</v>
      </c>
      <c r="Q26" s="8" t="n">
        <f aca="false">P26-P25</f>
        <v>-304752</v>
      </c>
      <c r="R26" s="8" t="n">
        <f aca="false">Q26-Q25</f>
        <v>-475987</v>
      </c>
      <c r="S26" s="8" t="n">
        <f aca="false">R26-R25</f>
        <v>-695732</v>
      </c>
      <c r="T26" s="8" t="n">
        <f aca="false">S26-S25</f>
        <v>-930390</v>
      </c>
      <c r="U26" s="8" t="n">
        <f aca="false">T26-T25</f>
        <v>-1076922</v>
      </c>
      <c r="V26" s="8" t="n">
        <f aca="false">U26-U25</f>
        <v>-894424</v>
      </c>
      <c r="W26" s="8" t="n">
        <f aca="false">V26-V25</f>
        <v>111988</v>
      </c>
      <c r="X26" s="8" t="n">
        <f aca="false">W26-W25</f>
        <v>2877775</v>
      </c>
      <c r="Y26" s="8" t="n">
        <f aca="false">X26-X25</f>
        <v>9062264</v>
      </c>
      <c r="Z26" s="8" t="n">
        <f aca="false">Y26-Y25</f>
        <v>21450732</v>
      </c>
    </row>
    <row r="27" customFormat="false" ht="15" hidden="false" customHeight="false" outlineLevel="0" collapsed="false">
      <c r="A27" s="9" t="n">
        <v>26</v>
      </c>
      <c r="B27" s="12" t="n">
        <f aca="false">Counts!C27</f>
        <v>31660312</v>
      </c>
      <c r="C27" s="8" t="n">
        <f aca="false">B27-B26</f>
        <v>15868914</v>
      </c>
      <c r="D27" s="8" t="n">
        <f aca="false">C27-C26</f>
        <v>7952416</v>
      </c>
      <c r="E27" s="8" t="n">
        <f aca="false">D27-D26</f>
        <v>3984730</v>
      </c>
      <c r="F27" s="8" t="n">
        <f aca="false">E27-E26</f>
        <v>1996584</v>
      </c>
      <c r="G27" s="8" t="n">
        <f aca="false">F27-F26</f>
        <v>1000532</v>
      </c>
      <c r="H27" s="8" t="n">
        <f aca="false">G27-G26</f>
        <v>501617</v>
      </c>
      <c r="I27" s="8" t="n">
        <f aca="false">H27-H26</f>
        <v>251933</v>
      </c>
      <c r="J27" s="8" t="n">
        <f aca="false">I27-I26</f>
        <v>127655</v>
      </c>
      <c r="K27" s="8" t="n">
        <f aca="false">J27-J26</f>
        <v>67602</v>
      </c>
      <c r="L27" s="8" t="n">
        <f aca="false">K27-K26</f>
        <v>42805</v>
      </c>
      <c r="M27" s="8" t="n">
        <f aca="false">L27-L26</f>
        <v>41836</v>
      </c>
      <c r="N27" s="8" t="n">
        <f aca="false">M27-M26</f>
        <v>64329</v>
      </c>
      <c r="O27" s="8" t="n">
        <f aca="false">N27-N26</f>
        <v>118940</v>
      </c>
      <c r="P27" s="8" t="n">
        <f aca="false">O27-O26</f>
        <v>223785</v>
      </c>
      <c r="Q27" s="8" t="n">
        <f aca="false">P27-P26</f>
        <v>407999</v>
      </c>
      <c r="R27" s="8" t="n">
        <f aca="false">Q27-Q26</f>
        <v>712751</v>
      </c>
      <c r="S27" s="8" t="n">
        <f aca="false">R27-R26</f>
        <v>1188738</v>
      </c>
      <c r="T27" s="8" t="n">
        <f aca="false">S27-S26</f>
        <v>1884470</v>
      </c>
      <c r="U27" s="8" t="n">
        <f aca="false">T27-T26</f>
        <v>2814860</v>
      </c>
      <c r="V27" s="8" t="n">
        <f aca="false">U27-U26</f>
        <v>3891782</v>
      </c>
      <c r="W27" s="8" t="n">
        <f aca="false">V27-V26</f>
        <v>4786206</v>
      </c>
      <c r="X27" s="8" t="n">
        <f aca="false">W27-W26</f>
        <v>4674218</v>
      </c>
      <c r="Y27" s="8" t="n">
        <f aca="false">X27-X26</f>
        <v>1796443</v>
      </c>
      <c r="Z27" s="8" t="n">
        <f aca="false">Y27-Y26</f>
        <v>-7265821</v>
      </c>
      <c r="AA27" s="8" t="n">
        <f aca="false">Z27-Z26</f>
        <v>-28716553</v>
      </c>
    </row>
    <row r="28" customFormat="false" ht="15" hidden="false" customHeight="false" outlineLevel="0" collapsed="false">
      <c r="A28" s="9" t="n">
        <v>27</v>
      </c>
      <c r="B28" s="12" t="n">
        <f aca="false">Counts!C28</f>
        <v>63463120</v>
      </c>
      <c r="C28" s="8" t="n">
        <f aca="false">B28-B27</f>
        <v>31802808</v>
      </c>
      <c r="D28" s="8" t="n">
        <f aca="false">C28-C27</f>
        <v>15933894</v>
      </c>
      <c r="E28" s="8" t="n">
        <f aca="false">D28-D27</f>
        <v>7981478</v>
      </c>
      <c r="F28" s="8" t="n">
        <f aca="false">E28-E27</f>
        <v>3996748</v>
      </c>
      <c r="G28" s="8" t="n">
        <f aca="false">F28-F27</f>
        <v>2000164</v>
      </c>
      <c r="H28" s="8" t="n">
        <f aca="false">G28-G27</f>
        <v>999632</v>
      </c>
      <c r="I28" s="8" t="n">
        <f aca="false">H28-H27</f>
        <v>498015</v>
      </c>
      <c r="J28" s="8" t="n">
        <f aca="false">I28-I27</f>
        <v>246082</v>
      </c>
      <c r="K28" s="8" t="n">
        <f aca="false">J28-J27</f>
        <v>118427</v>
      </c>
      <c r="L28" s="8" t="n">
        <f aca="false">K28-K27</f>
        <v>50825</v>
      </c>
      <c r="M28" s="8" t="n">
        <f aca="false">L28-L27</f>
        <v>8020</v>
      </c>
      <c r="N28" s="8" t="n">
        <f aca="false">M28-M27</f>
        <v>-33816</v>
      </c>
      <c r="O28" s="8" t="n">
        <f aca="false">N28-N27</f>
        <v>-98145</v>
      </c>
      <c r="P28" s="8" t="n">
        <f aca="false">O28-O27</f>
        <v>-217085</v>
      </c>
      <c r="Q28" s="8" t="n">
        <f aca="false">P28-P27</f>
        <v>-440870</v>
      </c>
      <c r="R28" s="8" t="n">
        <f aca="false">Q28-Q27</f>
        <v>-848869</v>
      </c>
      <c r="S28" s="8" t="n">
        <f aca="false">R28-R27</f>
        <v>-1561620</v>
      </c>
      <c r="T28" s="8" t="n">
        <f aca="false">S28-S27</f>
        <v>-2750358</v>
      </c>
      <c r="U28" s="8" t="n">
        <f aca="false">T28-T27</f>
        <v>-4634828</v>
      </c>
      <c r="V28" s="8" t="n">
        <f aca="false">U28-U27</f>
        <v>-7449688</v>
      </c>
      <c r="W28" s="8" t="n">
        <f aca="false">V28-V27</f>
        <v>-11341470</v>
      </c>
      <c r="X28" s="8" t="n">
        <f aca="false">W28-W27</f>
        <v>-16127676</v>
      </c>
      <c r="Y28" s="8" t="n">
        <f aca="false">X28-X27</f>
        <v>-20801894</v>
      </c>
      <c r="Z28" s="8" t="n">
        <f aca="false">Y28-Y27</f>
        <v>-22598337</v>
      </c>
      <c r="AA28" s="8" t="n">
        <f aca="false">Z28-Z27</f>
        <v>-15332516</v>
      </c>
      <c r="AB28" s="8" t="n">
        <f aca="false">AA28-AA27</f>
        <v>13384037</v>
      </c>
    </row>
    <row r="29" customFormat="false" ht="15" hidden="false" customHeight="false" outlineLevel="0" collapsed="false">
      <c r="A29" s="9" t="n">
        <v>28</v>
      </c>
      <c r="B29" s="12" t="n">
        <f aca="false">Counts!C29</f>
        <v>127190438</v>
      </c>
      <c r="C29" s="8" t="n">
        <f aca="false">B29-B28</f>
        <v>63727318</v>
      </c>
      <c r="D29" s="8" t="n">
        <f aca="false">C29-C28</f>
        <v>31924510</v>
      </c>
      <c r="E29" s="8" t="n">
        <f aca="false">D29-D28</f>
        <v>15990616</v>
      </c>
      <c r="F29" s="8" t="n">
        <f aca="false">E29-E28</f>
        <v>8009138</v>
      </c>
      <c r="G29" s="8" t="n">
        <f aca="false">F29-F28</f>
        <v>4012390</v>
      </c>
      <c r="H29" s="8" t="n">
        <f aca="false">G29-G28</f>
        <v>2012226</v>
      </c>
      <c r="I29" s="8" t="n">
        <f aca="false">H29-H28</f>
        <v>1012594</v>
      </c>
      <c r="J29" s="8" t="n">
        <f aca="false">I29-I28</f>
        <v>514579</v>
      </c>
      <c r="K29" s="8" t="n">
        <f aca="false">J29-J28</f>
        <v>268497</v>
      </c>
      <c r="L29" s="8" t="n">
        <f aca="false">K29-K28</f>
        <v>150070</v>
      </c>
      <c r="M29" s="8" t="n">
        <f aca="false">L29-L28</f>
        <v>99245</v>
      </c>
      <c r="N29" s="8" t="n">
        <f aca="false">M29-M28</f>
        <v>91225</v>
      </c>
      <c r="O29" s="8" t="n">
        <f aca="false">N29-N28</f>
        <v>125041</v>
      </c>
      <c r="P29" s="8" t="n">
        <f aca="false">O29-O28</f>
        <v>223186</v>
      </c>
      <c r="Q29" s="8" t="n">
        <f aca="false">P29-P28</f>
        <v>440271</v>
      </c>
      <c r="R29" s="8" t="n">
        <f aca="false">Q29-Q28</f>
        <v>881141</v>
      </c>
      <c r="S29" s="8" t="n">
        <f aca="false">R29-R28</f>
        <v>1730010</v>
      </c>
      <c r="T29" s="8" t="n">
        <f aca="false">S29-S28</f>
        <v>3291630</v>
      </c>
      <c r="U29" s="8" t="n">
        <f aca="false">T29-T28</f>
        <v>6041988</v>
      </c>
      <c r="V29" s="8" t="n">
        <f aca="false">U29-U28</f>
        <v>10676816</v>
      </c>
      <c r="W29" s="8" t="n">
        <f aca="false">V29-V28</f>
        <v>18126504</v>
      </c>
      <c r="X29" s="8" t="n">
        <f aca="false">W29-W28</f>
        <v>29467974</v>
      </c>
      <c r="Y29" s="8" t="n">
        <f aca="false">X29-X28</f>
        <v>45595650</v>
      </c>
      <c r="Z29" s="8" t="n">
        <f aca="false">Y29-Y28</f>
        <v>66397544</v>
      </c>
      <c r="AA29" s="8" t="n">
        <f aca="false">Z29-Z28</f>
        <v>88995881</v>
      </c>
      <c r="AB29" s="8" t="n">
        <f aca="false">AA29-AA28</f>
        <v>104328397</v>
      </c>
      <c r="AC29" s="8" t="n">
        <f aca="false">AB29-AB28</f>
        <v>90944360</v>
      </c>
    </row>
    <row r="30" customFormat="false" ht="15" hidden="false" customHeight="false" outlineLevel="0" collapsed="false">
      <c r="A30" s="9" t="n">
        <v>29</v>
      </c>
      <c r="B30" s="12" t="n">
        <f aca="false">Counts!C30</f>
        <v>254873549</v>
      </c>
      <c r="C30" s="8" t="n">
        <f aca="false">B30-B29</f>
        <v>127683111</v>
      </c>
      <c r="D30" s="8" t="n">
        <f aca="false">C30-C29</f>
        <v>63955793</v>
      </c>
      <c r="E30" s="8" t="n">
        <f aca="false">D30-D29</f>
        <v>32031283</v>
      </c>
      <c r="F30" s="8" t="n">
        <f aca="false">E30-E29</f>
        <v>16040667</v>
      </c>
      <c r="G30" s="8" t="n">
        <f aca="false">F30-F29</f>
        <v>8031529</v>
      </c>
      <c r="H30" s="8" t="n">
        <f aca="false">G30-G29</f>
        <v>4019139</v>
      </c>
      <c r="I30" s="8" t="n">
        <f aca="false">H30-H29</f>
        <v>2006913</v>
      </c>
      <c r="J30" s="8" t="n">
        <f aca="false">I30-I29</f>
        <v>994319</v>
      </c>
      <c r="K30" s="8" t="n">
        <f aca="false">J30-J29</f>
        <v>479740</v>
      </c>
      <c r="L30" s="8" t="n">
        <f aca="false">K30-K29</f>
        <v>211243</v>
      </c>
      <c r="M30" s="8" t="n">
        <f aca="false">L30-L29</f>
        <v>61173</v>
      </c>
      <c r="N30" s="8" t="n">
        <f aca="false">M30-M29</f>
        <v>-38072</v>
      </c>
      <c r="O30" s="8" t="n">
        <f aca="false">N30-N29</f>
        <v>-129297</v>
      </c>
      <c r="P30" s="8" t="n">
        <f aca="false">O30-O29</f>
        <v>-254338</v>
      </c>
      <c r="Q30" s="8" t="n">
        <f aca="false">P30-P29</f>
        <v>-477524</v>
      </c>
      <c r="R30" s="8" t="n">
        <f aca="false">Q30-Q29</f>
        <v>-917795</v>
      </c>
      <c r="S30" s="8" t="n">
        <f aca="false">R30-R29</f>
        <v>-1798936</v>
      </c>
      <c r="T30" s="8" t="n">
        <f aca="false">S30-S29</f>
        <v>-3528946</v>
      </c>
      <c r="U30" s="8" t="n">
        <f aca="false">T30-T29</f>
        <v>-6820576</v>
      </c>
      <c r="V30" s="8" t="n">
        <f aca="false">U30-U29</f>
        <v>-12862564</v>
      </c>
      <c r="W30" s="8" t="n">
        <f aca="false">V30-V29</f>
        <v>-23539380</v>
      </c>
      <c r="X30" s="8" t="n">
        <f aca="false">W30-W29</f>
        <v>-41665884</v>
      </c>
      <c r="Y30" s="8" t="n">
        <f aca="false">X30-X29</f>
        <v>-71133858</v>
      </c>
      <c r="Z30" s="8" t="n">
        <f aca="false">Y30-Y29</f>
        <v>-116729508</v>
      </c>
      <c r="AA30" s="8" t="n">
        <f aca="false">Z30-Z29</f>
        <v>-183127052</v>
      </c>
      <c r="AB30" s="8" t="n">
        <f aca="false">AA30-AA29</f>
        <v>-272122933</v>
      </c>
      <c r="AC30" s="8" t="n">
        <f aca="false">AB30-AB29</f>
        <v>-376451330</v>
      </c>
      <c r="AD30" s="8" t="n">
        <f aca="false">AC30-AC29</f>
        <v>-467395690</v>
      </c>
    </row>
    <row r="31" customFormat="false" ht="15" hidden="false" customHeight="false" outlineLevel="0" collapsed="false">
      <c r="A31" s="9" t="n">
        <v>30</v>
      </c>
      <c r="B31" s="12" t="n">
        <f aca="false">Counts!C31</f>
        <v>510663634</v>
      </c>
      <c r="C31" s="8" t="n">
        <f aca="false">B31-B30</f>
        <v>255790085</v>
      </c>
      <c r="D31" s="8" t="n">
        <f aca="false">C31-C30</f>
        <v>128106974</v>
      </c>
      <c r="E31" s="8" t="n">
        <f aca="false">D31-D30</f>
        <v>64151181</v>
      </c>
      <c r="F31" s="8" t="n">
        <f aca="false">E31-E30</f>
        <v>32119898</v>
      </c>
      <c r="G31" s="8" t="n">
        <f aca="false">F31-F30</f>
        <v>16079231</v>
      </c>
      <c r="H31" s="8" t="n">
        <f aca="false">G31-G30</f>
        <v>8047702</v>
      </c>
      <c r="I31" s="8" t="n">
        <f aca="false">H31-H30</f>
        <v>4028563</v>
      </c>
      <c r="J31" s="8" t="n">
        <f aca="false">I31-I30</f>
        <v>2021650</v>
      </c>
      <c r="K31" s="8" t="n">
        <f aca="false">J31-J30</f>
        <v>1027331</v>
      </c>
      <c r="L31" s="8" t="n">
        <f aca="false">K31-K30</f>
        <v>547591</v>
      </c>
      <c r="M31" s="8" t="n">
        <f aca="false">L31-L30</f>
        <v>336348</v>
      </c>
      <c r="N31" s="8" t="n">
        <f aca="false">M31-M30</f>
        <v>275175</v>
      </c>
      <c r="O31" s="8" t="n">
        <f aca="false">N31-N30</f>
        <v>313247</v>
      </c>
      <c r="P31" s="8" t="n">
        <f aca="false">O31-O30</f>
        <v>442544</v>
      </c>
      <c r="Q31" s="8" t="n">
        <f aca="false">P31-P30</f>
        <v>696882</v>
      </c>
      <c r="R31" s="8" t="n">
        <f aca="false">Q31-Q30</f>
        <v>1174406</v>
      </c>
      <c r="S31" s="8" t="n">
        <f aca="false">R31-R30</f>
        <v>2092201</v>
      </c>
      <c r="T31" s="8" t="n">
        <f aca="false">S31-S30</f>
        <v>3891137</v>
      </c>
      <c r="U31" s="8" t="n">
        <f aca="false">T31-T30</f>
        <v>7420083</v>
      </c>
      <c r="V31" s="8" t="n">
        <f aca="false">U31-U30</f>
        <v>14240659</v>
      </c>
      <c r="W31" s="8" t="n">
        <f aca="false">V31-V30</f>
        <v>27103223</v>
      </c>
      <c r="X31" s="8" t="n">
        <f aca="false">W31-W30</f>
        <v>50642603</v>
      </c>
      <c r="Y31" s="8" t="n">
        <f aca="false">X31-X30</f>
        <v>92308487</v>
      </c>
      <c r="Z31" s="8" t="n">
        <f aca="false">Y31-Y30</f>
        <v>163442345</v>
      </c>
      <c r="AA31" s="8" t="n">
        <f aca="false">Z31-Z30</f>
        <v>280171853</v>
      </c>
      <c r="AB31" s="8" t="n">
        <f aca="false">AA31-AA30</f>
        <v>463298905</v>
      </c>
      <c r="AC31" s="8" t="n">
        <f aca="false">AB31-AB30</f>
        <v>735421838</v>
      </c>
      <c r="AD31" s="8" t="n">
        <f aca="false">AC31-AC30</f>
        <v>1111873168</v>
      </c>
      <c r="AE31" s="8" t="n">
        <f aca="false">AD31-AD30</f>
        <v>1579268858</v>
      </c>
    </row>
    <row r="32" customFormat="false" ht="15" hidden="false" customHeight="false" outlineLevel="0" collapsed="false">
      <c r="A32" s="9" t="n">
        <v>31</v>
      </c>
      <c r="B32" s="12" t="n">
        <f aca="false">Counts!C32</f>
        <v>1023044287</v>
      </c>
      <c r="C32" s="8" t="n">
        <f aca="false">B32-B31</f>
        <v>512380653</v>
      </c>
      <c r="D32" s="8" t="n">
        <f aca="false">C32-C31</f>
        <v>256590568</v>
      </c>
      <c r="E32" s="8" t="n">
        <f aca="false">D32-D31</f>
        <v>128483594</v>
      </c>
      <c r="F32" s="8" t="n">
        <f aca="false">E32-E31</f>
        <v>64332413</v>
      </c>
      <c r="G32" s="8" t="n">
        <f aca="false">F32-F31</f>
        <v>32212515</v>
      </c>
      <c r="H32" s="8" t="n">
        <f aca="false">G32-G31</f>
        <v>16133284</v>
      </c>
      <c r="I32" s="8" t="n">
        <f aca="false">H32-H31</f>
        <v>8085582</v>
      </c>
      <c r="J32" s="8" t="n">
        <f aca="false">I32-I31</f>
        <v>4057019</v>
      </c>
      <c r="K32" s="8" t="n">
        <f aca="false">J32-J31</f>
        <v>2035369</v>
      </c>
      <c r="L32" s="8" t="n">
        <f aca="false">K32-K31</f>
        <v>1008038</v>
      </c>
      <c r="M32" s="8" t="n">
        <f aca="false">L32-L31</f>
        <v>460447</v>
      </c>
      <c r="N32" s="8" t="n">
        <f aca="false">M32-M31</f>
        <v>124099</v>
      </c>
      <c r="O32" s="8" t="n">
        <f aca="false">N32-N31</f>
        <v>-151076</v>
      </c>
      <c r="P32" s="8" t="n">
        <f aca="false">O32-O31</f>
        <v>-464323</v>
      </c>
      <c r="Q32" s="8" t="n">
        <f aca="false">P32-P31</f>
        <v>-906867</v>
      </c>
      <c r="R32" s="8" t="n">
        <f aca="false">Q32-Q31</f>
        <v>-1603749</v>
      </c>
      <c r="S32" s="8" t="n">
        <f aca="false">R32-R31</f>
        <v>-2778155</v>
      </c>
      <c r="T32" s="8" t="n">
        <f aca="false">S32-S31</f>
        <v>-4870356</v>
      </c>
      <c r="U32" s="8" t="n">
        <f aca="false">T32-T31</f>
        <v>-8761493</v>
      </c>
      <c r="V32" s="8" t="n">
        <f aca="false">U32-U31</f>
        <v>-16181576</v>
      </c>
      <c r="W32" s="8" t="n">
        <f aca="false">V32-V31</f>
        <v>-30422235</v>
      </c>
      <c r="X32" s="8" t="n">
        <f aca="false">W32-W31</f>
        <v>-57525458</v>
      </c>
      <c r="Y32" s="8" t="n">
        <f aca="false">X32-X31</f>
        <v>-108168061</v>
      </c>
      <c r="Z32" s="8" t="n">
        <f aca="false">Y32-Y31</f>
        <v>-200476548</v>
      </c>
      <c r="AA32" s="8" t="n">
        <f aca="false">Z32-Z31</f>
        <v>-363918893</v>
      </c>
      <c r="AB32" s="8" t="n">
        <f aca="false">AA32-AA31</f>
        <v>-644090746</v>
      </c>
      <c r="AC32" s="8" t="n">
        <f aca="false">AB32-AB31</f>
        <v>-1107389651</v>
      </c>
      <c r="AD32" s="8" t="n">
        <f aca="false">AC32-AC31</f>
        <v>-1842811489</v>
      </c>
      <c r="AE32" s="8" t="n">
        <f aca="false">AD32-AD31</f>
        <v>-2954684657</v>
      </c>
      <c r="AF32" s="8" t="n">
        <f aca="false">AE32-AE31</f>
        <v>-4533953515</v>
      </c>
    </row>
    <row r="33" customFormat="false" ht="15" hidden="false" customHeight="false" outlineLevel="0" collapsed="false">
      <c r="A33" s="9" t="n">
        <v>32</v>
      </c>
      <c r="B33" s="12" t="n">
        <f aca="false">Counts!C33</f>
        <v>2049300992</v>
      </c>
      <c r="C33" s="8" t="n">
        <f aca="false">B33-B32</f>
        <v>1026256705</v>
      </c>
      <c r="D33" s="8" t="n">
        <f aca="false">C33-C32</f>
        <v>513876052</v>
      </c>
      <c r="E33" s="8" t="n">
        <f aca="false">D33-D32</f>
        <v>257285484</v>
      </c>
      <c r="F33" s="8" t="n">
        <f aca="false">E33-E32</f>
        <v>128801890</v>
      </c>
      <c r="G33" s="8" t="n">
        <f aca="false">F33-F32</f>
        <v>64469477</v>
      </c>
      <c r="H33" s="8" t="n">
        <f aca="false">G33-G32</f>
        <v>32256962</v>
      </c>
      <c r="I33" s="8" t="n">
        <f aca="false">H33-H32</f>
        <v>16123678</v>
      </c>
      <c r="J33" s="8" t="n">
        <f aca="false">I33-I32</f>
        <v>8038096</v>
      </c>
      <c r="K33" s="8" t="n">
        <f aca="false">J33-J32</f>
        <v>3981077</v>
      </c>
      <c r="L33" s="8" t="n">
        <f aca="false">K33-K32</f>
        <v>1945708</v>
      </c>
      <c r="M33" s="8" t="n">
        <f aca="false">L33-L32</f>
        <v>937670</v>
      </c>
      <c r="N33" s="8" t="n">
        <f aca="false">M33-M32</f>
        <v>477223</v>
      </c>
      <c r="O33" s="8" t="n">
        <f aca="false">N33-N32</f>
        <v>353124</v>
      </c>
      <c r="P33" s="8" t="n">
        <f aca="false">O33-O32</f>
        <v>504200</v>
      </c>
      <c r="Q33" s="8" t="n">
        <f aca="false">P33-P32</f>
        <v>968523</v>
      </c>
      <c r="R33" s="8" t="n">
        <f aca="false">Q33-Q32</f>
        <v>1875390</v>
      </c>
      <c r="S33" s="8" t="n">
        <f aca="false">R33-R32</f>
        <v>3479139</v>
      </c>
      <c r="T33" s="8" t="n">
        <f aca="false">S33-S32</f>
        <v>6257294</v>
      </c>
      <c r="U33" s="8" t="n">
        <f aca="false">T33-T32</f>
        <v>11127650</v>
      </c>
      <c r="V33" s="8" t="n">
        <f aca="false">U33-U32</f>
        <v>19889143</v>
      </c>
      <c r="W33" s="8" t="n">
        <f aca="false">V33-V32</f>
        <v>36070719</v>
      </c>
      <c r="X33" s="8" t="n">
        <f aca="false">W33-W32</f>
        <v>66492954</v>
      </c>
      <c r="Y33" s="8" t="n">
        <f aca="false">X33-X32</f>
        <v>124018412</v>
      </c>
      <c r="Z33" s="8" t="n">
        <f aca="false">Y33-Y32</f>
        <v>232186473</v>
      </c>
      <c r="AA33" s="8" t="n">
        <f aca="false">Z33-Z32</f>
        <v>432663021</v>
      </c>
      <c r="AB33" s="8" t="n">
        <f aca="false">AA33-AA32</f>
        <v>796581914</v>
      </c>
      <c r="AC33" s="8" t="n">
        <f aca="false">AB33-AB32</f>
        <v>1440672660</v>
      </c>
      <c r="AD33" s="8" t="n">
        <f aca="false">AC33-AC32</f>
        <v>2548062311</v>
      </c>
      <c r="AE33" s="8" t="n">
        <f aca="false">AD33-AD32</f>
        <v>4390873800</v>
      </c>
      <c r="AF33" s="8" t="n">
        <f aca="false">AE33-AE32</f>
        <v>7345558457</v>
      </c>
    </row>
    <row r="34" customFormat="false" ht="15" hidden="false" customHeight="false" outlineLevel="0" collapsed="false">
      <c r="A34" s="9" t="n">
        <v>33</v>
      </c>
      <c r="B34" s="12" t="n">
        <f aca="false">Counts!C34</f>
        <v>4104631711</v>
      </c>
      <c r="C34" s="8" t="n">
        <f aca="false">B34-B33</f>
        <v>2055330719</v>
      </c>
      <c r="D34" s="8" t="n">
        <f aca="false">C34-C33</f>
        <v>1029074014</v>
      </c>
      <c r="E34" s="8" t="n">
        <f aca="false">D34-D33</f>
        <v>515197962</v>
      </c>
      <c r="F34" s="8" t="n">
        <f aca="false">E34-E33</f>
        <v>257912478</v>
      </c>
      <c r="G34" s="8" t="n">
        <f aca="false">F34-F33</f>
        <v>129110588</v>
      </c>
      <c r="H34" s="8" t="n">
        <f aca="false">G34-G33</f>
        <v>64641111</v>
      </c>
      <c r="I34" s="8" t="n">
        <f aca="false">H34-H33</f>
        <v>32384149</v>
      </c>
      <c r="J34" s="8" t="n">
        <f aca="false">I34-I33</f>
        <v>16260471</v>
      </c>
      <c r="K34" s="8" t="n">
        <f aca="false">J34-J33</f>
        <v>8222375</v>
      </c>
      <c r="L34" s="8" t="n">
        <f aca="false">K34-K33</f>
        <v>4241298</v>
      </c>
      <c r="M34" s="8" t="n">
        <f aca="false">L34-L33</f>
        <v>2295590</v>
      </c>
      <c r="N34" s="8" t="n">
        <f aca="false">M34-M33</f>
        <v>1357920</v>
      </c>
      <c r="O34" s="8" t="n">
        <f aca="false">N34-N33</f>
        <v>880697</v>
      </c>
      <c r="P34" s="8" t="n">
        <f aca="false">O34-O33</f>
        <v>527573</v>
      </c>
      <c r="Q34" s="8" t="n">
        <f aca="false">P34-P33</f>
        <v>23373</v>
      </c>
      <c r="R34" s="8" t="n">
        <f aca="false">Q34-Q33</f>
        <v>-945150</v>
      </c>
      <c r="S34" s="8" t="n">
        <f aca="false">R34-R33</f>
        <v>-2820540</v>
      </c>
      <c r="T34" s="8" t="n">
        <f aca="false">S34-S33</f>
        <v>-6299679</v>
      </c>
      <c r="U34" s="8" t="n">
        <f aca="false">T34-T33</f>
        <v>-12556973</v>
      </c>
      <c r="V34" s="8" t="n">
        <f aca="false">U34-U33</f>
        <v>-23684623</v>
      </c>
      <c r="W34" s="8" t="n">
        <f aca="false">V34-V33</f>
        <v>-43573766</v>
      </c>
      <c r="X34" s="8" t="n">
        <f aca="false">W34-W33</f>
        <v>-79644485</v>
      </c>
      <c r="Y34" s="8" t="n">
        <f aca="false">X34-X33</f>
        <v>-146137439</v>
      </c>
      <c r="Z34" s="8" t="n">
        <f aca="false">Y34-Y33</f>
        <v>-270155851</v>
      </c>
      <c r="AA34" s="8" t="n">
        <f aca="false">Z34-Z33</f>
        <v>-502342324</v>
      </c>
      <c r="AB34" s="8" t="n">
        <f aca="false">AA34-AA33</f>
        <v>-935005345</v>
      </c>
      <c r="AC34" s="8" t="n">
        <f aca="false">AB34-AB33</f>
        <v>-1731587259</v>
      </c>
      <c r="AD34" s="8" t="n">
        <f aca="false">AC34-AC33</f>
        <v>-3172259919</v>
      </c>
      <c r="AE34" s="8" t="n">
        <f aca="false">AD34-AD33</f>
        <v>-5720322230</v>
      </c>
      <c r="AF34" s="8" t="n">
        <f aca="false">AE34-AE33</f>
        <v>-10111196030</v>
      </c>
    </row>
    <row r="35" customFormat="false" ht="15" hidden="false" customHeight="false" outlineLevel="0" collapsed="false">
      <c r="A35" s="9" t="n">
        <v>34</v>
      </c>
      <c r="B35" s="12" t="n">
        <f aca="false">Counts!C35</f>
        <v>8220611287</v>
      </c>
      <c r="C35" s="8" t="n">
        <f aca="false">B35-B34</f>
        <v>4115979576</v>
      </c>
      <c r="D35" s="8" t="n">
        <f aca="false">C35-C34</f>
        <v>2060648857</v>
      </c>
      <c r="E35" s="8" t="n">
        <f aca="false">D35-D34</f>
        <v>1031574843</v>
      </c>
      <c r="F35" s="8" t="n">
        <f aca="false">E35-E34</f>
        <v>516376881</v>
      </c>
      <c r="G35" s="8" t="n">
        <f aca="false">F35-F34</f>
        <v>258464403</v>
      </c>
      <c r="H35" s="8" t="n">
        <f aca="false">G35-G34</f>
        <v>129353815</v>
      </c>
      <c r="I35" s="8" t="n">
        <f aca="false">H35-H34</f>
        <v>64712704</v>
      </c>
      <c r="J35" s="8" t="n">
        <f aca="false">I35-I34</f>
        <v>32328555</v>
      </c>
      <c r="K35" s="8" t="n">
        <f aca="false">J35-J34</f>
        <v>16068084</v>
      </c>
      <c r="L35" s="8" t="n">
        <f aca="false">K35-K34</f>
        <v>7845709</v>
      </c>
      <c r="M35" s="8" t="n">
        <f aca="false">L35-L34</f>
        <v>3604411</v>
      </c>
      <c r="N35" s="8" t="n">
        <f aca="false">M35-M34</f>
        <v>1308821</v>
      </c>
      <c r="O35" s="8" t="n">
        <f aca="false">N35-N34</f>
        <v>-49099</v>
      </c>
      <c r="P35" s="8" t="n">
        <f aca="false">O35-O34</f>
        <v>-929796</v>
      </c>
      <c r="Q35" s="8" t="n">
        <f aca="false">P35-P34</f>
        <v>-1457369</v>
      </c>
      <c r="R35" s="8" t="n">
        <f aca="false">Q35-Q34</f>
        <v>-1480742</v>
      </c>
      <c r="S35" s="8" t="n">
        <f aca="false">R35-R34</f>
        <v>-535592</v>
      </c>
      <c r="T35" s="8" t="n">
        <f aca="false">S35-S34</f>
        <v>2284948</v>
      </c>
      <c r="U35" s="8" t="n">
        <f aca="false">T35-T34</f>
        <v>8584627</v>
      </c>
      <c r="V35" s="8" t="n">
        <f aca="false">U35-U34</f>
        <v>21141600</v>
      </c>
      <c r="W35" s="8" t="n">
        <f aca="false">V35-V34</f>
        <v>44826223</v>
      </c>
      <c r="X35" s="8" t="n">
        <f aca="false">W35-W34</f>
        <v>88399989</v>
      </c>
      <c r="Y35" s="8" t="n">
        <f aca="false">X35-X34</f>
        <v>168044474</v>
      </c>
      <c r="Z35" s="8" t="n">
        <f aca="false">Y35-Y34</f>
        <v>314181913</v>
      </c>
      <c r="AA35" s="8" t="n">
        <f aca="false">Z35-Z34</f>
        <v>584337764</v>
      </c>
      <c r="AB35" s="8" t="n">
        <f aca="false">AA35-AA34</f>
        <v>1086680088</v>
      </c>
      <c r="AC35" s="8" t="n">
        <f aca="false">AB35-AB34</f>
        <v>2021685433</v>
      </c>
      <c r="AD35" s="8" t="n">
        <f aca="false">AC35-AC34</f>
        <v>3753272692</v>
      </c>
      <c r="AE35" s="8" t="n">
        <f aca="false">AD35-AD34</f>
        <v>6925532611</v>
      </c>
      <c r="AF35" s="8" t="n">
        <f aca="false">AE35-AE34</f>
        <v>12645854841</v>
      </c>
    </row>
    <row r="36" customFormat="false" ht="15" hidden="false" customHeight="false" outlineLevel="0" collapsed="false">
      <c r="A36" s="9" t="n">
        <v>35</v>
      </c>
      <c r="B36" s="12" t="n">
        <f aca="false">Counts!C36</f>
        <v>16462602016</v>
      </c>
      <c r="C36" s="8" t="n">
        <f aca="false">B36-B35</f>
        <v>8241990729</v>
      </c>
      <c r="D36" s="8" t="n">
        <f aca="false">C36-C35</f>
        <v>4126011153</v>
      </c>
      <c r="E36" s="8" t="n">
        <f aca="false">D36-D35</f>
        <v>2065362296</v>
      </c>
      <c r="F36" s="8" t="n">
        <f aca="false">E36-E35</f>
        <v>1033787453</v>
      </c>
      <c r="G36" s="8" t="n">
        <f aca="false">F36-F35</f>
        <v>517410572</v>
      </c>
      <c r="H36" s="8" t="n">
        <f aca="false">G36-G35</f>
        <v>258946169</v>
      </c>
      <c r="I36" s="8" t="n">
        <f aca="false">H36-H35</f>
        <v>129592354</v>
      </c>
      <c r="J36" s="8" t="n">
        <f aca="false">I36-I35</f>
        <v>64879650</v>
      </c>
      <c r="K36" s="8" t="n">
        <f aca="false">J36-J35</f>
        <v>32551095</v>
      </c>
      <c r="L36" s="8" t="n">
        <f aca="false">K36-K35</f>
        <v>16483011</v>
      </c>
      <c r="M36" s="8" t="n">
        <f aca="false">L36-L35</f>
        <v>8637302</v>
      </c>
      <c r="N36" s="8" t="n">
        <f aca="false">M36-M35</f>
        <v>5032891</v>
      </c>
      <c r="O36" s="8" t="n">
        <f aca="false">N36-N35</f>
        <v>3724070</v>
      </c>
      <c r="P36" s="8" t="n">
        <f aca="false">O36-O35</f>
        <v>3773169</v>
      </c>
      <c r="Q36" s="8" t="n">
        <f aca="false">P36-P35</f>
        <v>4702965</v>
      </c>
      <c r="R36" s="8" t="n">
        <f aca="false">Q36-Q35</f>
        <v>6160334</v>
      </c>
      <c r="S36" s="8" t="n">
        <f aca="false">R36-R35</f>
        <v>7641076</v>
      </c>
      <c r="T36" s="8" t="n">
        <f aca="false">S36-S35</f>
        <v>8176668</v>
      </c>
      <c r="U36" s="8" t="n">
        <f aca="false">T36-T35</f>
        <v>5891720</v>
      </c>
      <c r="V36" s="8" t="n">
        <f aca="false">U36-U35</f>
        <v>-2692907</v>
      </c>
      <c r="W36" s="8" t="n">
        <f aca="false">V36-V35</f>
        <v>-23834507</v>
      </c>
      <c r="X36" s="8" t="n">
        <f aca="false">W36-W35</f>
        <v>-68660730</v>
      </c>
      <c r="Y36" s="8" t="n">
        <f aca="false">X36-X35</f>
        <v>-157060719</v>
      </c>
      <c r="Z36" s="8" t="n">
        <f aca="false">Y36-Y35</f>
        <v>-325105193</v>
      </c>
      <c r="AA36" s="8" t="n">
        <f aca="false">Z36-Z35</f>
        <v>-639287106</v>
      </c>
      <c r="AB36" s="8" t="n">
        <f aca="false">AA36-AA35</f>
        <v>-1223624870</v>
      </c>
      <c r="AC36" s="8" t="n">
        <f aca="false">AB36-AB35</f>
        <v>-2310304958</v>
      </c>
      <c r="AD36" s="8" t="n">
        <f aca="false">AC36-AC35</f>
        <v>-4331990391</v>
      </c>
      <c r="AE36" s="8" t="n">
        <f aca="false">AD36-AD35</f>
        <v>-8085263083</v>
      </c>
      <c r="AF36" s="8" t="n">
        <f aca="false">AE36-AE35</f>
        <v>-15010795694</v>
      </c>
    </row>
    <row r="37" customFormat="false" ht="15" hidden="false" customHeight="false" outlineLevel="0" collapsed="false">
      <c r="A37" s="9" t="n">
        <v>36</v>
      </c>
      <c r="B37" s="12" t="n">
        <f aca="false">Counts!C37</f>
        <v>32965546132</v>
      </c>
      <c r="C37" s="8" t="n">
        <f aca="false">B37-B36</f>
        <v>16502944116</v>
      </c>
      <c r="D37" s="8" t="n">
        <f aca="false">C37-C36</f>
        <v>8260953387</v>
      </c>
      <c r="E37" s="8" t="n">
        <f aca="false">D37-D36</f>
        <v>4134942234</v>
      </c>
      <c r="F37" s="8" t="n">
        <f aca="false">E37-E36</f>
        <v>2069579938</v>
      </c>
      <c r="G37" s="8" t="n">
        <f aca="false">F37-F36</f>
        <v>1035792485</v>
      </c>
      <c r="H37" s="8" t="n">
        <f aca="false">G37-G36</f>
        <v>518381913</v>
      </c>
      <c r="I37" s="8" t="n">
        <f aca="false">H37-H36</f>
        <v>259435744</v>
      </c>
      <c r="J37" s="8" t="n">
        <f aca="false">I37-I36</f>
        <v>129843390</v>
      </c>
      <c r="K37" s="8" t="n">
        <f aca="false">J37-J36</f>
        <v>64963740</v>
      </c>
      <c r="L37" s="8" t="n">
        <f aca="false">K37-K36</f>
        <v>32412645</v>
      </c>
      <c r="M37" s="8" t="n">
        <f aca="false">L37-L36</f>
        <v>15929634</v>
      </c>
      <c r="N37" s="8" t="n">
        <f aca="false">M37-M36</f>
        <v>7292332</v>
      </c>
      <c r="O37" s="8" t="n">
        <f aca="false">N37-N36</f>
        <v>2259441</v>
      </c>
      <c r="P37" s="8" t="n">
        <f aca="false">O37-O36</f>
        <v>-1464629</v>
      </c>
      <c r="Q37" s="8" t="n">
        <f aca="false">P37-P36</f>
        <v>-5237798</v>
      </c>
      <c r="R37" s="8" t="n">
        <f aca="false">Q37-Q36</f>
        <v>-9940763</v>
      </c>
      <c r="S37" s="8" t="n">
        <f aca="false">R37-R36</f>
        <v>-16101097</v>
      </c>
      <c r="T37" s="8" t="n">
        <f aca="false">S37-S36</f>
        <v>-23742173</v>
      </c>
      <c r="U37" s="8" t="n">
        <f aca="false">T37-T36</f>
        <v>-31918841</v>
      </c>
      <c r="V37" s="8" t="n">
        <f aca="false">U37-U36</f>
        <v>-37810561</v>
      </c>
      <c r="W37" s="8" t="n">
        <f aca="false">V37-V36</f>
        <v>-35117654</v>
      </c>
      <c r="X37" s="8" t="n">
        <f aca="false">W37-W36</f>
        <v>-11283147</v>
      </c>
      <c r="Y37" s="8" t="n">
        <f aca="false">X37-X36</f>
        <v>57377583</v>
      </c>
      <c r="Z37" s="8" t="n">
        <f aca="false">Y37-Y36</f>
        <v>214438302</v>
      </c>
      <c r="AA37" s="8" t="n">
        <f aca="false">Z37-Z36</f>
        <v>539543495</v>
      </c>
      <c r="AB37" s="8" t="n">
        <f aca="false">AA37-AA36</f>
        <v>1178830601</v>
      </c>
      <c r="AC37" s="8" t="n">
        <f aca="false">AB37-AB36</f>
        <v>2402455471</v>
      </c>
      <c r="AD37" s="8" t="n">
        <f aca="false">AC37-AC36</f>
        <v>4712760429</v>
      </c>
      <c r="AE37" s="8" t="n">
        <f aca="false">AD37-AD36</f>
        <v>9044750820</v>
      </c>
      <c r="AF37" s="8" t="n">
        <f aca="false">AE37-AE36</f>
        <v>17130013903</v>
      </c>
    </row>
    <row r="38" customFormat="false" ht="15" hidden="false" customHeight="false" outlineLevel="0" collapsed="false">
      <c r="A38" s="9" t="n">
        <v>37</v>
      </c>
      <c r="B38" s="12" t="n">
        <f aca="false">Counts!C38</f>
        <v>66007372903</v>
      </c>
      <c r="C38" s="8" t="n">
        <f aca="false">B38-B37</f>
        <v>33041826771</v>
      </c>
      <c r="D38" s="8" t="n">
        <f aca="false">C38-C37</f>
        <v>16538882655</v>
      </c>
      <c r="E38" s="8" t="n">
        <f aca="false">D38-D37</f>
        <v>8277929268</v>
      </c>
      <c r="F38" s="8" t="n">
        <f aca="false">E38-E37</f>
        <v>4142987034</v>
      </c>
      <c r="G38" s="8" t="n">
        <f aca="false">F38-F37</f>
        <v>2073407096</v>
      </c>
      <c r="H38" s="8" t="n">
        <f aca="false">G38-G37</f>
        <v>1037614611</v>
      </c>
      <c r="I38" s="8" t="n">
        <f aca="false">H38-H37</f>
        <v>519232698</v>
      </c>
      <c r="J38" s="8" t="n">
        <f aca="false">I38-I37</f>
        <v>259796954</v>
      </c>
      <c r="K38" s="8" t="n">
        <f aca="false">J38-J37</f>
        <v>129953564</v>
      </c>
      <c r="L38" s="8" t="n">
        <f aca="false">K38-K37</f>
        <v>64989824</v>
      </c>
      <c r="M38" s="8" t="n">
        <f aca="false">L38-L37</f>
        <v>32577179</v>
      </c>
      <c r="N38" s="8" t="n">
        <f aca="false">M38-M37</f>
        <v>16647545</v>
      </c>
      <c r="O38" s="8" t="n">
        <f aca="false">N38-N37</f>
        <v>9355213</v>
      </c>
      <c r="P38" s="8" t="n">
        <f aca="false">O38-O37</f>
        <v>7095772</v>
      </c>
      <c r="Q38" s="8" t="n">
        <f aca="false">P38-P37</f>
        <v>8560401</v>
      </c>
      <c r="R38" s="8" t="n">
        <f aca="false">Q38-Q37</f>
        <v>13798199</v>
      </c>
      <c r="S38" s="8" t="n">
        <f aca="false">R38-R37</f>
        <v>23738962</v>
      </c>
      <c r="T38" s="8" t="n">
        <f aca="false">S38-S37</f>
        <v>39840059</v>
      </c>
      <c r="U38" s="8" t="n">
        <f aca="false">T38-T37</f>
        <v>63582232</v>
      </c>
      <c r="V38" s="8" t="n">
        <f aca="false">U38-U37</f>
        <v>95501073</v>
      </c>
      <c r="W38" s="8" t="n">
        <f aca="false">V38-V37</f>
        <v>133311634</v>
      </c>
      <c r="X38" s="8" t="n">
        <f aca="false">W38-W37</f>
        <v>168429288</v>
      </c>
      <c r="Y38" s="8" t="n">
        <f aca="false">X38-X37</f>
        <v>179712435</v>
      </c>
      <c r="Z38" s="8" t="n">
        <f aca="false">Y38-Y37</f>
        <v>122334852</v>
      </c>
      <c r="AA38" s="8" t="n">
        <f aca="false">Z38-Z37</f>
        <v>-92103450</v>
      </c>
      <c r="AB38" s="8" t="n">
        <f aca="false">AA38-AA37</f>
        <v>-631646945</v>
      </c>
      <c r="AC38" s="8" t="n">
        <f aca="false">AB38-AB37</f>
        <v>-1810477546</v>
      </c>
      <c r="AD38" s="8" t="n">
        <f aca="false">AC38-AC37</f>
        <v>-4212933017</v>
      </c>
      <c r="AE38" s="8" t="n">
        <f aca="false">AD38-AD37</f>
        <v>-8925693446</v>
      </c>
      <c r="AF38" s="8" t="n">
        <f aca="false">AE38-AE37</f>
        <v>-17970444266</v>
      </c>
    </row>
    <row r="39" customFormat="false" ht="15" hidden="false" customHeight="false" outlineLevel="0" collapsed="false">
      <c r="A39" s="9" t="n">
        <v>38</v>
      </c>
      <c r="B39" s="12" t="n">
        <f aca="false">Counts!C39</f>
        <v>132159189648</v>
      </c>
      <c r="C39" s="8" t="n">
        <f aca="false">B39-B38</f>
        <v>66151816745</v>
      </c>
      <c r="D39" s="8" t="n">
        <f aca="false">C39-C38</f>
        <v>33109989974</v>
      </c>
      <c r="E39" s="8" t="n">
        <f aca="false">D39-D38</f>
        <v>16571107319</v>
      </c>
      <c r="F39" s="8" t="n">
        <f aca="false">E39-E38</f>
        <v>8293178051</v>
      </c>
      <c r="G39" s="8" t="n">
        <f aca="false">F39-F38</f>
        <v>4150191017</v>
      </c>
      <c r="H39" s="8" t="n">
        <f aca="false">G39-G38</f>
        <v>2076783921</v>
      </c>
      <c r="I39" s="8" t="n">
        <f aca="false">H39-H38</f>
        <v>1039169310</v>
      </c>
      <c r="J39" s="8" t="n">
        <f aca="false">I39-I38</f>
        <v>519936612</v>
      </c>
      <c r="K39" s="8" t="n">
        <f aca="false">J39-J38</f>
        <v>260139658</v>
      </c>
      <c r="L39" s="8" t="n">
        <f aca="false">K39-K38</f>
        <v>130186094</v>
      </c>
      <c r="M39" s="8" t="n">
        <f aca="false">L39-L38</f>
        <v>65196270</v>
      </c>
      <c r="N39" s="8" t="n">
        <f aca="false">M39-M38</f>
        <v>32619091</v>
      </c>
      <c r="O39" s="8" t="n">
        <f aca="false">N39-N38</f>
        <v>15971546</v>
      </c>
      <c r="P39" s="8" t="n">
        <f aca="false">O39-O38</f>
        <v>6616333</v>
      </c>
      <c r="Q39" s="8" t="n">
        <f aca="false">P39-P38</f>
        <v>-479439</v>
      </c>
      <c r="R39" s="8" t="n">
        <f aca="false">Q39-Q38</f>
        <v>-9039840</v>
      </c>
      <c r="S39" s="8" t="n">
        <f aca="false">R39-R38</f>
        <v>-22838039</v>
      </c>
      <c r="T39" s="8" t="n">
        <f aca="false">S39-S38</f>
        <v>-46577001</v>
      </c>
      <c r="U39" s="8" t="n">
        <f aca="false">T39-T38</f>
        <v>-86417060</v>
      </c>
      <c r="V39" s="8" t="n">
        <f aca="false">U39-U38</f>
        <v>-149999292</v>
      </c>
      <c r="W39" s="8" t="n">
        <f aca="false">V39-V38</f>
        <v>-245500365</v>
      </c>
      <c r="X39" s="8" t="n">
        <f aca="false">W39-W38</f>
        <v>-378811999</v>
      </c>
      <c r="Y39" s="8" t="n">
        <f aca="false">X39-X38</f>
        <v>-547241287</v>
      </c>
      <c r="Z39" s="8" t="n">
        <f aca="false">Y39-Y38</f>
        <v>-726953722</v>
      </c>
      <c r="AA39" s="8" t="n">
        <f aca="false">Z39-Z38</f>
        <v>-849288574</v>
      </c>
      <c r="AB39" s="8" t="n">
        <f aca="false">AA39-AA38</f>
        <v>-757185124</v>
      </c>
      <c r="AC39" s="8" t="n">
        <f aca="false">AB39-AB38</f>
        <v>-125538179</v>
      </c>
      <c r="AD39" s="8" t="n">
        <f aca="false">AC39-AC38</f>
        <v>1684939367</v>
      </c>
      <c r="AE39" s="8" t="n">
        <f aca="false">AD39-AD38</f>
        <v>5897872384</v>
      </c>
      <c r="AF39" s="8" t="n">
        <f aca="false">AE39-AE38</f>
        <v>14823565830</v>
      </c>
    </row>
    <row r="40" customFormat="false" ht="15" hidden="false" customHeight="false" outlineLevel="0" collapsed="false">
      <c r="A40" s="9" t="n">
        <v>39</v>
      </c>
      <c r="B40" s="12" t="n">
        <f aca="false">Counts!C40</f>
        <v>264592265166</v>
      </c>
      <c r="C40" s="8" t="n">
        <f aca="false">B40-B39</f>
        <v>132433075518</v>
      </c>
      <c r="D40" s="8" t="n">
        <f aca="false">C40-C39</f>
        <v>66281258773</v>
      </c>
      <c r="E40" s="8" t="n">
        <f aca="false">D40-D39</f>
        <v>33171268799</v>
      </c>
      <c r="F40" s="8" t="n">
        <f aca="false">E40-E39</f>
        <v>16600161480</v>
      </c>
      <c r="G40" s="8" t="n">
        <f aca="false">F40-F39</f>
        <v>8306983429</v>
      </c>
      <c r="H40" s="8" t="n">
        <f aca="false">G40-G39</f>
        <v>4156792412</v>
      </c>
      <c r="I40" s="8" t="n">
        <f aca="false">H40-H39</f>
        <v>2080008491</v>
      </c>
      <c r="J40" s="8" t="n">
        <f aca="false">I40-I39</f>
        <v>1040839181</v>
      </c>
      <c r="K40" s="8" t="n">
        <f aca="false">J40-J39</f>
        <v>520902569</v>
      </c>
      <c r="L40" s="8" t="n">
        <f aca="false">K40-K39</f>
        <v>260762911</v>
      </c>
      <c r="M40" s="8" t="n">
        <f aca="false">L40-L39</f>
        <v>130576817</v>
      </c>
      <c r="N40" s="8" t="n">
        <f aca="false">M40-M39</f>
        <v>65380547</v>
      </c>
      <c r="O40" s="8" t="n">
        <f aca="false">N40-N39</f>
        <v>32761456</v>
      </c>
      <c r="P40" s="8" t="n">
        <f aca="false">O40-O39</f>
        <v>16789910</v>
      </c>
      <c r="Q40" s="8" t="n">
        <f aca="false">P40-P39</f>
        <v>10173577</v>
      </c>
      <c r="R40" s="8" t="n">
        <f aca="false">Q40-Q39</f>
        <v>10653016</v>
      </c>
      <c r="S40" s="8" t="n">
        <f aca="false">R40-R39</f>
        <v>19692856</v>
      </c>
      <c r="T40" s="8" t="n">
        <f aca="false">S40-S39</f>
        <v>42530895</v>
      </c>
      <c r="U40" s="8" t="n">
        <f aca="false">T40-T39</f>
        <v>89107896</v>
      </c>
      <c r="V40" s="8" t="n">
        <f aca="false">U40-U39</f>
        <v>175524956</v>
      </c>
      <c r="W40" s="8" t="n">
        <f aca="false">V40-V39</f>
        <v>325524248</v>
      </c>
      <c r="X40" s="8" t="n">
        <f aca="false">W40-W39</f>
        <v>571024613</v>
      </c>
      <c r="Y40" s="8" t="n">
        <f aca="false">X40-X39</f>
        <v>949836612</v>
      </c>
      <c r="Z40" s="8" t="n">
        <f aca="false">Y40-Y39</f>
        <v>1497077899</v>
      </c>
      <c r="AA40" s="8" t="n">
        <f aca="false">Z40-Z39</f>
        <v>2224031621</v>
      </c>
      <c r="AB40" s="8" t="n">
        <f aca="false">AA40-AA39</f>
        <v>3073320195</v>
      </c>
      <c r="AC40" s="8" t="n">
        <f aca="false">AB40-AB39</f>
        <v>3830505319</v>
      </c>
      <c r="AD40" s="8" t="n">
        <f aca="false">AC40-AC39</f>
        <v>3956043498</v>
      </c>
      <c r="AE40" s="8" t="n">
        <f aca="false">AD40-AD39</f>
        <v>2271104131</v>
      </c>
      <c r="AF40" s="8" t="n">
        <f aca="false">AE40-AE39</f>
        <v>-3626768253</v>
      </c>
    </row>
    <row r="41" customFormat="false" ht="15" hidden="false" customHeight="false" outlineLevel="0" collapsed="false">
      <c r="A41" s="9" t="n">
        <v>40</v>
      </c>
      <c r="B41" s="12" t="n">
        <f aca="false">Counts!C41</f>
        <v>529704633042</v>
      </c>
      <c r="C41" s="8" t="n">
        <f aca="false">B41-B40</f>
        <v>265112367876</v>
      </c>
      <c r="D41" s="8" t="n">
        <f aca="false">C41-C40</f>
        <v>132679292358</v>
      </c>
      <c r="E41" s="8" t="n">
        <f aca="false">D41-D40</f>
        <v>66398033585</v>
      </c>
      <c r="F41" s="8" t="n">
        <f aca="false">E41-E40</f>
        <v>33226764786</v>
      </c>
      <c r="G41" s="8" t="n">
        <f aca="false">F41-F40</f>
        <v>16626603306</v>
      </c>
      <c r="H41" s="8" t="n">
        <f aca="false">G41-G40</f>
        <v>8319619877</v>
      </c>
      <c r="I41" s="8" t="n">
        <f aca="false">H41-H40</f>
        <v>4162827465</v>
      </c>
      <c r="J41" s="8" t="n">
        <f aca="false">I41-I40</f>
        <v>2082818974</v>
      </c>
      <c r="K41" s="8" t="n">
        <f aca="false">J41-J40</f>
        <v>1041979793</v>
      </c>
      <c r="L41" s="8" t="n">
        <f aca="false">K41-K40</f>
        <v>521077224</v>
      </c>
      <c r="M41" s="8" t="n">
        <f aca="false">L41-L40</f>
        <v>260314313</v>
      </c>
      <c r="N41" s="8" t="n">
        <f aca="false">M41-M40</f>
        <v>129737496</v>
      </c>
      <c r="O41" s="8" t="n">
        <f aca="false">N41-N40</f>
        <v>64356949</v>
      </c>
      <c r="P41" s="8" t="n">
        <f aca="false">O41-O40</f>
        <v>31595493</v>
      </c>
      <c r="Q41" s="8" t="n">
        <f aca="false">P41-P40</f>
        <v>14805583</v>
      </c>
      <c r="R41" s="8" t="n">
        <f aca="false">Q41-Q40</f>
        <v>4632006</v>
      </c>
      <c r="S41" s="8" t="n">
        <f aca="false">R41-R40</f>
        <v>-6021010</v>
      </c>
      <c r="T41" s="8" t="n">
        <f aca="false">S41-S40</f>
        <v>-25713866</v>
      </c>
      <c r="U41" s="8" t="n">
        <f aca="false">T41-T40</f>
        <v>-68244761</v>
      </c>
      <c r="V41" s="8" t="n">
        <f aca="false">U41-U40</f>
        <v>-157352657</v>
      </c>
      <c r="W41" s="8" t="n">
        <f aca="false">V41-V40</f>
        <v>-332877613</v>
      </c>
      <c r="X41" s="8" t="n">
        <f aca="false">W41-W40</f>
        <v>-658401861</v>
      </c>
      <c r="Y41" s="8" t="n">
        <f aca="false">X41-X40</f>
        <v>-1229426474</v>
      </c>
      <c r="Z41" s="8" t="n">
        <f aca="false">Y41-Y40</f>
        <v>-2179263086</v>
      </c>
      <c r="AA41" s="8" t="n">
        <f aca="false">Z41-Z40</f>
        <v>-3676340985</v>
      </c>
      <c r="AB41" s="8" t="n">
        <f aca="false">AA41-AA40</f>
        <v>-5900372606</v>
      </c>
      <c r="AC41" s="8" t="n">
        <f aca="false">AB41-AB40</f>
        <v>-8973692801</v>
      </c>
      <c r="AD41" s="8" t="n">
        <f aca="false">AC41-AC40</f>
        <v>-12804198120</v>
      </c>
      <c r="AE41" s="8" t="n">
        <f aca="false">AD41-AD40</f>
        <v>-16760241618</v>
      </c>
      <c r="AF41" s="8" t="n">
        <f aca="false">AE41-AE40</f>
        <v>-19031345749</v>
      </c>
    </row>
    <row r="42" customFormat="false" ht="15" hidden="false" customHeight="false" outlineLevel="0" collapsed="false">
      <c r="A42" s="9" t="n">
        <v>41</v>
      </c>
      <c r="B42" s="12" t="n">
        <f aca="false">Counts!C42</f>
        <v>1060398145136</v>
      </c>
      <c r="C42" s="8" t="n">
        <f aca="false">B42-B41</f>
        <v>530693512094</v>
      </c>
      <c r="D42" s="8" t="n">
        <f aca="false">C42-C41</f>
        <v>265581144218</v>
      </c>
      <c r="E42" s="8" t="n">
        <f aca="false">D42-D41</f>
        <v>132901851860</v>
      </c>
      <c r="F42" s="8" t="n">
        <f aca="false">E42-E41</f>
        <v>66503818275</v>
      </c>
      <c r="G42" s="8" t="n">
        <f aca="false">F42-F41</f>
        <v>33277053489</v>
      </c>
      <c r="H42" s="8" t="n">
        <f aca="false">G42-G41</f>
        <v>16650450183</v>
      </c>
      <c r="I42" s="8" t="n">
        <f aca="false">H42-H41</f>
        <v>8330830306</v>
      </c>
      <c r="J42" s="8" t="n">
        <f aca="false">I42-I41</f>
        <v>4168002841</v>
      </c>
      <c r="K42" s="8" t="n">
        <f aca="false">J42-J41</f>
        <v>2085183867</v>
      </c>
      <c r="L42" s="8" t="n">
        <f aca="false">K42-K41</f>
        <v>1043204074</v>
      </c>
      <c r="M42" s="8" t="n">
        <f aca="false">L42-L41</f>
        <v>522126850</v>
      </c>
      <c r="N42" s="8" t="n">
        <f aca="false">M42-M41</f>
        <v>261812537</v>
      </c>
      <c r="O42" s="8" t="n">
        <f aca="false">N42-N41</f>
        <v>132075041</v>
      </c>
      <c r="P42" s="8" t="n">
        <f aca="false">O42-O41</f>
        <v>67718092</v>
      </c>
      <c r="Q42" s="8" t="n">
        <f aca="false">P42-P41</f>
        <v>36122599</v>
      </c>
      <c r="R42" s="8" t="n">
        <f aca="false">Q42-Q41</f>
        <v>21317016</v>
      </c>
      <c r="S42" s="8" t="n">
        <f aca="false">R42-R41</f>
        <v>16685010</v>
      </c>
      <c r="T42" s="8" t="n">
        <f aca="false">S42-S41</f>
        <v>22706020</v>
      </c>
      <c r="U42" s="8" t="n">
        <f aca="false">T42-T41</f>
        <v>48419886</v>
      </c>
      <c r="V42" s="8" t="n">
        <f aca="false">U42-U41</f>
        <v>116664647</v>
      </c>
      <c r="W42" s="8" t="n">
        <f aca="false">V42-V41</f>
        <v>274017304</v>
      </c>
      <c r="X42" s="8" t="n">
        <f aca="false">W42-W41</f>
        <v>606894917</v>
      </c>
      <c r="Y42" s="8" t="n">
        <f aca="false">X42-X41</f>
        <v>1265296778</v>
      </c>
      <c r="Z42" s="8" t="n">
        <f aca="false">Y42-Y41</f>
        <v>2494723252</v>
      </c>
      <c r="AA42" s="8" t="n">
        <f aca="false">Z42-Z41</f>
        <v>4673986338</v>
      </c>
      <c r="AB42" s="8" t="n">
        <f aca="false">AA42-AA41</f>
        <v>8350327323</v>
      </c>
      <c r="AC42" s="8" t="n">
        <f aca="false">AB42-AB41</f>
        <v>14250699929</v>
      </c>
      <c r="AD42" s="8" t="n">
        <f aca="false">AC42-AC41</f>
        <v>23224392730</v>
      </c>
      <c r="AE42" s="8" t="n">
        <f aca="false">AD42-AD41</f>
        <v>36028590850</v>
      </c>
      <c r="AF42" s="8" t="n">
        <f aca="false">AE42-AE41</f>
        <v>52788832468</v>
      </c>
    </row>
    <row r="43" customFormat="false" ht="15" hidden="false" customHeight="false" outlineLevel="0" collapsed="false">
      <c r="A43" s="9" t="n">
        <v>42</v>
      </c>
      <c r="B43" s="12" t="n">
        <f aca="false">Counts!C43</f>
        <v>2122678792755</v>
      </c>
      <c r="C43" s="8" t="n">
        <f aca="false">B43-B42</f>
        <v>1062280647619</v>
      </c>
      <c r="D43" s="8" t="n">
        <f aca="false">C43-C42</f>
        <v>531587135525</v>
      </c>
      <c r="E43" s="8" t="n">
        <f aca="false">D43-D42</f>
        <v>266005991307</v>
      </c>
      <c r="F43" s="8" t="n">
        <f aca="false">E43-E42</f>
        <v>133104139447</v>
      </c>
      <c r="G43" s="8" t="n">
        <f aca="false">F43-F42</f>
        <v>66600321172</v>
      </c>
      <c r="H43" s="8" t="n">
        <f aca="false">G43-G42</f>
        <v>33323267683</v>
      </c>
      <c r="I43" s="8" t="n">
        <f aca="false">H43-H42</f>
        <v>16672817500</v>
      </c>
      <c r="J43" s="8" t="n">
        <f aca="false">I43-I42</f>
        <v>8341987194</v>
      </c>
      <c r="K43" s="8" t="n">
        <f aca="false">J43-J42</f>
        <v>4173984353</v>
      </c>
      <c r="L43" s="8" t="n">
        <f aca="false">K43-K42</f>
        <v>2088800486</v>
      </c>
      <c r="M43" s="8" t="n">
        <f aca="false">L43-L42</f>
        <v>1045596412</v>
      </c>
      <c r="N43" s="8" t="n">
        <f aca="false">M43-M42</f>
        <v>523469562</v>
      </c>
      <c r="O43" s="8" t="n">
        <f aca="false">N43-N42</f>
        <v>261657025</v>
      </c>
      <c r="P43" s="8" t="n">
        <f aca="false">O43-O42</f>
        <v>129581984</v>
      </c>
      <c r="Q43" s="8" t="n">
        <f aca="false">P43-P42</f>
        <v>61863892</v>
      </c>
      <c r="R43" s="8" t="n">
        <f aca="false">Q43-Q42</f>
        <v>25741293</v>
      </c>
      <c r="S43" s="8" t="n">
        <f aca="false">R43-R42</f>
        <v>4424277</v>
      </c>
      <c r="T43" s="8" t="n">
        <f aca="false">S43-S42</f>
        <v>-12260733</v>
      </c>
      <c r="U43" s="8" t="n">
        <f aca="false">T43-T42</f>
        <v>-34966753</v>
      </c>
      <c r="V43" s="8" t="n">
        <f aca="false">U43-U42</f>
        <v>-83386639</v>
      </c>
      <c r="W43" s="8" t="n">
        <f aca="false">V43-V42</f>
        <v>-200051286</v>
      </c>
      <c r="X43" s="8" t="n">
        <f aca="false">W43-W42</f>
        <v>-474068590</v>
      </c>
      <c r="Y43" s="8" t="n">
        <f aca="false">X43-X42</f>
        <v>-1080963507</v>
      </c>
      <c r="Z43" s="8" t="n">
        <f aca="false">Y43-Y42</f>
        <v>-2346260285</v>
      </c>
      <c r="AA43" s="8" t="n">
        <f aca="false">Z43-Z42</f>
        <v>-4840983537</v>
      </c>
      <c r="AB43" s="8" t="n">
        <f aca="false">AA43-AA42</f>
        <v>-9514969875</v>
      </c>
      <c r="AC43" s="8" t="n">
        <f aca="false">AB43-AB42</f>
        <v>-17865297198</v>
      </c>
      <c r="AD43" s="8" t="n">
        <f aca="false">AC43-AC42</f>
        <v>-32115997127</v>
      </c>
      <c r="AE43" s="8" t="n">
        <f aca="false">AD43-AD42</f>
        <v>-55340389857</v>
      </c>
      <c r="AF43" s="8" t="n">
        <f aca="false">AE43-AE42</f>
        <v>-91368980707</v>
      </c>
    </row>
    <row r="44" customFormat="false" ht="15" hidden="false" customHeight="false" outlineLevel="0" collapsed="false">
      <c r="A44" s="9" t="n">
        <v>43</v>
      </c>
      <c r="B44" s="12" t="n">
        <f aca="false">Counts!C44</f>
        <v>4248945832100</v>
      </c>
      <c r="C44" s="8" t="n">
        <f aca="false">B44-B43</f>
        <v>2126267039345</v>
      </c>
      <c r="D44" s="8" t="n">
        <f aca="false">C44-C43</f>
        <v>1063986391726</v>
      </c>
      <c r="E44" s="8" t="n">
        <f aca="false">D44-D43</f>
        <v>532399256201</v>
      </c>
      <c r="F44" s="8" t="n">
        <f aca="false">E44-E43</f>
        <v>266393264894</v>
      </c>
      <c r="G44" s="8" t="n">
        <f aca="false">F44-F43</f>
        <v>133289125447</v>
      </c>
      <c r="H44" s="8" t="n">
        <f aca="false">G44-G43</f>
        <v>66688804275</v>
      </c>
      <c r="I44" s="8" t="n">
        <f aca="false">H44-H43</f>
        <v>33365536592</v>
      </c>
      <c r="J44" s="8" t="n">
        <f aca="false">I44-I43</f>
        <v>16692719092</v>
      </c>
      <c r="K44" s="8" t="n">
        <f aca="false">J44-J43</f>
        <v>8350731898</v>
      </c>
      <c r="L44" s="8" t="n">
        <f aca="false">K44-K43</f>
        <v>4176747545</v>
      </c>
      <c r="M44" s="8" t="n">
        <f aca="false">L44-L43</f>
        <v>2087947059</v>
      </c>
      <c r="N44" s="8" t="n">
        <f aca="false">M44-M43</f>
        <v>1042350647</v>
      </c>
      <c r="O44" s="8" t="n">
        <f aca="false">N44-N43</f>
        <v>518881085</v>
      </c>
      <c r="P44" s="8" t="n">
        <f aca="false">O44-O43</f>
        <v>257224060</v>
      </c>
      <c r="Q44" s="8" t="n">
        <f aca="false">P44-P43</f>
        <v>127642076</v>
      </c>
      <c r="R44" s="8" t="n">
        <f aca="false">Q44-Q43</f>
        <v>65778184</v>
      </c>
      <c r="S44" s="8" t="n">
        <f aca="false">R44-R43</f>
        <v>40036891</v>
      </c>
      <c r="T44" s="8" t="n">
        <f aca="false">S44-S43</f>
        <v>35612614</v>
      </c>
      <c r="U44" s="8" t="n">
        <f aca="false">T44-T43</f>
        <v>47873347</v>
      </c>
      <c r="V44" s="8" t="n">
        <f aca="false">U44-U43</f>
        <v>82840100</v>
      </c>
      <c r="W44" s="8" t="n">
        <f aca="false">V44-V43</f>
        <v>166226739</v>
      </c>
      <c r="X44" s="8" t="n">
        <f aca="false">W44-W43</f>
        <v>366278025</v>
      </c>
      <c r="Y44" s="8" t="n">
        <f aca="false">X44-X43</f>
        <v>840346615</v>
      </c>
      <c r="Z44" s="8" t="n">
        <f aca="false">Y44-Y43</f>
        <v>1921310122</v>
      </c>
      <c r="AA44" s="8" t="n">
        <f aca="false">Z44-Z43</f>
        <v>4267570407</v>
      </c>
      <c r="AB44" s="8" t="n">
        <f aca="false">AA44-AA43</f>
        <v>9108553944</v>
      </c>
      <c r="AC44" s="8" t="n">
        <f aca="false">AB44-AB43</f>
        <v>18623523819</v>
      </c>
      <c r="AD44" s="8" t="n">
        <f aca="false">AC44-AC43</f>
        <v>36488821017</v>
      </c>
      <c r="AE44" s="8" t="n">
        <f aca="false">AD44-AD43</f>
        <v>68604818144</v>
      </c>
      <c r="AF44" s="8" t="n">
        <f aca="false">AE44-AE43</f>
        <v>123945208001</v>
      </c>
    </row>
    <row r="45" customFormat="false" ht="15" hidden="false" customHeight="false" outlineLevel="0" collapsed="false">
      <c r="A45" s="9" t="n">
        <v>44</v>
      </c>
      <c r="B45" s="12" t="n">
        <f aca="false">Counts!C45</f>
        <v>8504738353713</v>
      </c>
      <c r="C45" s="8" t="n">
        <f aca="false">B45-B44</f>
        <v>4255792521613</v>
      </c>
      <c r="D45" s="8" t="n">
        <f aca="false">C45-C44</f>
        <v>2129525482268</v>
      </c>
      <c r="E45" s="8" t="n">
        <f aca="false">D45-D44</f>
        <v>1065539090542</v>
      </c>
      <c r="F45" s="8" t="n">
        <f aca="false">E45-E44</f>
        <v>533139834341</v>
      </c>
      <c r="G45" s="8" t="n">
        <f aca="false">F45-F44</f>
        <v>266746569447</v>
      </c>
      <c r="H45" s="8" t="n">
        <f aca="false">G45-G44</f>
        <v>133457444000</v>
      </c>
      <c r="I45" s="8" t="n">
        <f aca="false">H45-H44</f>
        <v>66768639725</v>
      </c>
      <c r="J45" s="8" t="n">
        <f aca="false">I45-I44</f>
        <v>33403103133</v>
      </c>
      <c r="K45" s="8" t="n">
        <f aca="false">J45-J44</f>
        <v>16710384041</v>
      </c>
      <c r="L45" s="8" t="n">
        <f aca="false">K45-K44</f>
        <v>8359652143</v>
      </c>
      <c r="M45" s="8" t="n">
        <f aca="false">L45-L44</f>
        <v>4182904598</v>
      </c>
      <c r="N45" s="8" t="n">
        <f aca="false">M45-M44</f>
        <v>2094957539</v>
      </c>
      <c r="O45" s="8" t="n">
        <f aca="false">N45-N44</f>
        <v>1052606892</v>
      </c>
      <c r="P45" s="8" t="n">
        <f aca="false">O45-O44</f>
        <v>533725807</v>
      </c>
      <c r="Q45" s="8" t="n">
        <f aca="false">P45-P44</f>
        <v>276501747</v>
      </c>
      <c r="R45" s="8" t="n">
        <f aca="false">Q45-Q44</f>
        <v>148859671</v>
      </c>
      <c r="S45" s="8" t="n">
        <f aca="false">R45-R44</f>
        <v>83081487</v>
      </c>
      <c r="T45" s="8" t="n">
        <f aca="false">S45-S44</f>
        <v>43044596</v>
      </c>
      <c r="U45" s="8" t="n">
        <f aca="false">T45-T44</f>
        <v>7431982</v>
      </c>
      <c r="V45" s="8" t="n">
        <f aca="false">U45-U44</f>
        <v>-40441365</v>
      </c>
      <c r="W45" s="8" t="n">
        <f aca="false">V45-V44</f>
        <v>-123281465</v>
      </c>
      <c r="X45" s="8" t="n">
        <f aca="false">W45-W44</f>
        <v>-289508204</v>
      </c>
      <c r="Y45" s="8" t="n">
        <f aca="false">X45-X44</f>
        <v>-655786229</v>
      </c>
      <c r="Z45" s="8" t="n">
        <f aca="false">Y45-Y44</f>
        <v>-1496132844</v>
      </c>
      <c r="AA45" s="8" t="n">
        <f aca="false">Z45-Z44</f>
        <v>-3417442966</v>
      </c>
      <c r="AB45" s="8" t="n">
        <f aca="false">AA45-AA44</f>
        <v>-7685013373</v>
      </c>
      <c r="AC45" s="8" t="n">
        <f aca="false">AB45-AB44</f>
        <v>-16793567317</v>
      </c>
      <c r="AD45" s="8" t="n">
        <f aca="false">AC45-AC44</f>
        <v>-35417091136</v>
      </c>
      <c r="AE45" s="8" t="n">
        <f aca="false">AD45-AD44</f>
        <v>-71905912153</v>
      </c>
      <c r="AF45" s="8" t="n">
        <f aca="false">AE45-AE44</f>
        <v>-140510730297</v>
      </c>
    </row>
    <row r="46" customFormat="false" ht="15" hidden="false" customHeight="false" outlineLevel="0" collapsed="false">
      <c r="A46" s="9" t="n">
        <v>45</v>
      </c>
      <c r="B46" s="12" t="n">
        <f aca="false">Counts!C46</f>
        <v>17022555639966</v>
      </c>
      <c r="C46" s="8" t="n">
        <f aca="false">B46-B45</f>
        <v>8517817286253</v>
      </c>
      <c r="D46" s="8" t="n">
        <f aca="false">C46-C45</f>
        <v>4262024764640</v>
      </c>
      <c r="E46" s="8" t="n">
        <f aca="false">D46-D45</f>
        <v>2132499282372</v>
      </c>
      <c r="F46" s="8" t="n">
        <f aca="false">E46-E45</f>
        <v>1066960191830</v>
      </c>
      <c r="G46" s="8" t="n">
        <f aca="false">F46-F45</f>
        <v>533820357489</v>
      </c>
      <c r="H46" s="8" t="n">
        <f aca="false">G46-G45</f>
        <v>267073788042</v>
      </c>
      <c r="I46" s="8" t="n">
        <f aca="false">H46-H45</f>
        <v>133616344042</v>
      </c>
      <c r="J46" s="8" t="n">
        <f aca="false">I46-I45</f>
        <v>66847704317</v>
      </c>
      <c r="K46" s="8" t="n">
        <f aca="false">J46-J45</f>
        <v>33444601184</v>
      </c>
      <c r="L46" s="8" t="n">
        <f aca="false">K46-K45</f>
        <v>16734217143</v>
      </c>
      <c r="M46" s="8" t="n">
        <f aca="false">L46-L45</f>
        <v>8374565000</v>
      </c>
      <c r="N46" s="8" t="n">
        <f aca="false">M46-M45</f>
        <v>4191660402</v>
      </c>
      <c r="O46" s="8" t="n">
        <f aca="false">N46-N45</f>
        <v>2096702863</v>
      </c>
      <c r="P46" s="8" t="n">
        <f aca="false">O46-O45</f>
        <v>1044095971</v>
      </c>
      <c r="Q46" s="8" t="n">
        <f aca="false">P46-P45</f>
        <v>510370164</v>
      </c>
      <c r="R46" s="8" t="n">
        <f aca="false">Q46-Q45</f>
        <v>233868417</v>
      </c>
      <c r="S46" s="8" t="n">
        <f aca="false">R46-R45</f>
        <v>85008746</v>
      </c>
      <c r="T46" s="8" t="n">
        <f aca="false">S46-S45</f>
        <v>1927259</v>
      </c>
      <c r="U46" s="8" t="n">
        <f aca="false">T46-T45</f>
        <v>-41117337</v>
      </c>
      <c r="V46" s="8" t="n">
        <f aca="false">U46-U45</f>
        <v>-48549319</v>
      </c>
      <c r="W46" s="8" t="n">
        <f aca="false">V46-V45</f>
        <v>-8107954</v>
      </c>
      <c r="X46" s="8" t="n">
        <f aca="false">W46-W45</f>
        <v>115173511</v>
      </c>
      <c r="Y46" s="8" t="n">
        <f aca="false">X46-X45</f>
        <v>404681715</v>
      </c>
      <c r="Z46" s="8" t="n">
        <f aca="false">Y46-Y45</f>
        <v>1060467944</v>
      </c>
      <c r="AA46" s="8" t="n">
        <f aca="false">Z46-Z45</f>
        <v>2556600788</v>
      </c>
      <c r="AB46" s="8" t="n">
        <f aca="false">AA46-AA45</f>
        <v>5974043754</v>
      </c>
      <c r="AC46" s="8" t="n">
        <f aca="false">AB46-AB45</f>
        <v>13659057127</v>
      </c>
      <c r="AD46" s="8" t="n">
        <f aca="false">AC46-AC45</f>
        <v>30452624444</v>
      </c>
      <c r="AE46" s="8" t="n">
        <f aca="false">AD46-AD45</f>
        <v>65869715580</v>
      </c>
      <c r="AF46" s="8" t="n">
        <f aca="false">AE46-AE45</f>
        <v>137775627733</v>
      </c>
    </row>
    <row r="47" customFormat="false" ht="15" hidden="false" customHeight="false" outlineLevel="0" collapsed="false">
      <c r="A47" s="9" t="n">
        <v>46</v>
      </c>
      <c r="B47" s="12" t="n">
        <f aca="false">Counts!C47</f>
        <v>34070120121065</v>
      </c>
      <c r="C47" s="8" t="n">
        <f aca="false">B47-B46</f>
        <v>17047564481099</v>
      </c>
      <c r="D47" s="8" t="n">
        <f aca="false">C47-C46</f>
        <v>8529747194846</v>
      </c>
      <c r="E47" s="8" t="n">
        <f aca="false">D47-D46</f>
        <v>4267722430206</v>
      </c>
      <c r="F47" s="8" t="n">
        <f aca="false">E47-E46</f>
        <v>2135223147834</v>
      </c>
      <c r="G47" s="8" t="n">
        <f aca="false">F47-F46</f>
        <v>1068262956004</v>
      </c>
      <c r="H47" s="8" t="n">
        <f aca="false">G47-G46</f>
        <v>534442598515</v>
      </c>
      <c r="I47" s="8" t="n">
        <f aca="false">H47-H46</f>
        <v>267368810473</v>
      </c>
      <c r="J47" s="8" t="n">
        <f aca="false">I47-I46</f>
        <v>133752466431</v>
      </c>
      <c r="K47" s="8" t="n">
        <f aca="false">J47-J46</f>
        <v>66904762114</v>
      </c>
      <c r="L47" s="8" t="n">
        <f aca="false">K47-K46</f>
        <v>33460160930</v>
      </c>
      <c r="M47" s="8" t="n">
        <f aca="false">L47-L46</f>
        <v>16725943787</v>
      </c>
      <c r="N47" s="8" t="n">
        <f aca="false">M47-M46</f>
        <v>8351378787</v>
      </c>
      <c r="O47" s="8" t="n">
        <f aca="false">N47-N46</f>
        <v>4159718385</v>
      </c>
      <c r="P47" s="8" t="n">
        <f aca="false">O47-O46</f>
        <v>2063015522</v>
      </c>
      <c r="Q47" s="8" t="n">
        <f aca="false">P47-P46</f>
        <v>1018919551</v>
      </c>
      <c r="R47" s="8" t="n">
        <f aca="false">Q47-Q46</f>
        <v>508549387</v>
      </c>
      <c r="S47" s="8" t="n">
        <f aca="false">R47-R46</f>
        <v>274680970</v>
      </c>
      <c r="T47" s="8" t="n">
        <f aca="false">S47-S46</f>
        <v>189672224</v>
      </c>
      <c r="U47" s="8" t="n">
        <f aca="false">T47-T46</f>
        <v>187744965</v>
      </c>
      <c r="V47" s="8" t="n">
        <f aca="false">U47-U46</f>
        <v>228862302</v>
      </c>
      <c r="W47" s="8" t="n">
        <f aca="false">V47-V46</f>
        <v>277411621</v>
      </c>
      <c r="X47" s="8" t="n">
        <f aca="false">W47-W46</f>
        <v>285519575</v>
      </c>
      <c r="Y47" s="8" t="n">
        <f aca="false">X47-X46</f>
        <v>170346064</v>
      </c>
      <c r="Z47" s="8" t="n">
        <f aca="false">Y47-Y46</f>
        <v>-234335651</v>
      </c>
      <c r="AA47" s="8" t="n">
        <f aca="false">Z47-Z46</f>
        <v>-1294803595</v>
      </c>
      <c r="AB47" s="8" t="n">
        <f aca="false">AA47-AA46</f>
        <v>-3851404383</v>
      </c>
      <c r="AC47" s="8" t="n">
        <f aca="false">AB47-AB46</f>
        <v>-9825448137</v>
      </c>
      <c r="AD47" s="8" t="n">
        <f aca="false">AC47-AC46</f>
        <v>-23484505264</v>
      </c>
      <c r="AE47" s="8" t="n">
        <f aca="false">AD47-AD46</f>
        <v>-53937129708</v>
      </c>
      <c r="AF47" s="8" t="n">
        <f aca="false">AE47-AE46</f>
        <v>-119806845288</v>
      </c>
    </row>
    <row r="48" customFormat="false" ht="15" hidden="false" customHeight="false" outlineLevel="0" collapsed="false">
      <c r="A48" s="9" t="n">
        <v>47</v>
      </c>
      <c r="B48" s="12" t="n">
        <f aca="false">Counts!C48</f>
        <v>68188109951896</v>
      </c>
      <c r="C48" s="8" t="n">
        <f aca="false">B48-B47</f>
        <v>34117989830831</v>
      </c>
      <c r="D48" s="8" t="n">
        <f aca="false">C48-C47</f>
        <v>17070425349732</v>
      </c>
      <c r="E48" s="8" t="n">
        <f aca="false">D48-D47</f>
        <v>8540678154886</v>
      </c>
      <c r="F48" s="8" t="n">
        <f aca="false">E48-E47</f>
        <v>4272955724680</v>
      </c>
      <c r="G48" s="8" t="n">
        <f aca="false">F48-F47</f>
        <v>2137732576846</v>
      </c>
      <c r="H48" s="8" t="n">
        <f aca="false">G48-G47</f>
        <v>1069469620842</v>
      </c>
      <c r="I48" s="8" t="n">
        <f aca="false">H48-H47</f>
        <v>535027022327</v>
      </c>
      <c r="J48" s="8" t="n">
        <f aca="false">I48-I47</f>
        <v>267658211854</v>
      </c>
      <c r="K48" s="8" t="n">
        <f aca="false">J48-J47</f>
        <v>133905745423</v>
      </c>
      <c r="L48" s="8" t="n">
        <f aca="false">K48-K47</f>
        <v>67000983309</v>
      </c>
      <c r="M48" s="8" t="n">
        <f aca="false">L48-L47</f>
        <v>33540822379</v>
      </c>
      <c r="N48" s="8" t="n">
        <f aca="false">M48-M47</f>
        <v>16814878592</v>
      </c>
      <c r="O48" s="8" t="n">
        <f aca="false">N48-N47</f>
        <v>8463499805</v>
      </c>
      <c r="P48" s="8" t="n">
        <f aca="false">O48-O47</f>
        <v>4303781420</v>
      </c>
      <c r="Q48" s="8" t="n">
        <f aca="false">P48-P47</f>
        <v>2240765898</v>
      </c>
      <c r="R48" s="8" t="n">
        <f aca="false">Q48-Q47</f>
        <v>1221846347</v>
      </c>
      <c r="S48" s="8" t="n">
        <f aca="false">R48-R47</f>
        <v>713296960</v>
      </c>
      <c r="T48" s="8" t="n">
        <f aca="false">S48-S47</f>
        <v>438615990</v>
      </c>
      <c r="U48" s="8" t="n">
        <f aca="false">T48-T47</f>
        <v>248943766</v>
      </c>
      <c r="V48" s="8" t="n">
        <f aca="false">U48-U47</f>
        <v>61198801</v>
      </c>
      <c r="W48" s="8" t="n">
        <f aca="false">V48-V47</f>
        <v>-167663501</v>
      </c>
      <c r="X48" s="8" t="n">
        <f aca="false">W48-W47</f>
        <v>-445075122</v>
      </c>
      <c r="Y48" s="8" t="n">
        <f aca="false">X48-X47</f>
        <v>-730594697</v>
      </c>
      <c r="Z48" s="8" t="n">
        <f aca="false">Y48-Y47</f>
        <v>-900940761</v>
      </c>
      <c r="AA48" s="8" t="n">
        <f aca="false">Z48-Z47</f>
        <v>-666605110</v>
      </c>
      <c r="AB48" s="8" t="n">
        <f aca="false">AA48-AA47</f>
        <v>628198485</v>
      </c>
      <c r="AC48" s="8" t="n">
        <f aca="false">AB48-AB47</f>
        <v>4479602868</v>
      </c>
      <c r="AD48" s="8" t="n">
        <f aca="false">AC48-AC47</f>
        <v>14305051005</v>
      </c>
      <c r="AE48" s="8" t="n">
        <f aca="false">AD48-AD47</f>
        <v>37789556269</v>
      </c>
      <c r="AF48" s="8" t="n">
        <f aca="false">AE48-AE47</f>
        <v>91726685977</v>
      </c>
    </row>
    <row r="49" customFormat="false" ht="15" hidden="false" customHeight="false" outlineLevel="0" collapsed="false">
      <c r="A49" s="9" t="n">
        <v>48</v>
      </c>
      <c r="B49" s="12" t="n">
        <f aca="false">Counts!C49</f>
        <v>136467932471575</v>
      </c>
      <c r="C49" s="8" t="n">
        <f aca="false">B49-B48</f>
        <v>68279822519679</v>
      </c>
      <c r="D49" s="8" t="n">
        <f aca="false">C49-C48</f>
        <v>34161832688848</v>
      </c>
      <c r="E49" s="8" t="n">
        <f aca="false">D49-D48</f>
        <v>17091407339116</v>
      </c>
      <c r="F49" s="8" t="n">
        <f aca="false">E49-E48</f>
        <v>8550729184230</v>
      </c>
      <c r="G49" s="8" t="n">
        <f aca="false">F49-F48</f>
        <v>4277773459550</v>
      </c>
      <c r="H49" s="8" t="n">
        <f aca="false">G49-G48</f>
        <v>2140040882704</v>
      </c>
      <c r="I49" s="8" t="n">
        <f aca="false">H49-H48</f>
        <v>1070571261862</v>
      </c>
      <c r="J49" s="8" t="n">
        <f aca="false">I49-I48</f>
        <v>535544239535</v>
      </c>
      <c r="K49" s="8" t="n">
        <f aca="false">J49-J48</f>
        <v>267886027681</v>
      </c>
      <c r="L49" s="8" t="n">
        <f aca="false">K49-K48</f>
        <v>133980282258</v>
      </c>
      <c r="M49" s="8" t="n">
        <f aca="false">L49-L48</f>
        <v>66979298949</v>
      </c>
      <c r="N49" s="8" t="n">
        <f aca="false">M49-M48</f>
        <v>33438476570</v>
      </c>
      <c r="O49" s="8" t="n">
        <f aca="false">N49-N48</f>
        <v>16623597978</v>
      </c>
      <c r="P49" s="8" t="n">
        <f aca="false">O49-O48</f>
        <v>8160098173</v>
      </c>
      <c r="Q49" s="8" t="n">
        <f aca="false">P49-P48</f>
        <v>3856316753</v>
      </c>
      <c r="R49" s="8" t="n">
        <f aca="false">Q49-Q48</f>
        <v>1615550855</v>
      </c>
      <c r="S49" s="8" t="n">
        <f aca="false">R49-R48</f>
        <v>393704508</v>
      </c>
      <c r="T49" s="8" t="n">
        <f aca="false">S49-S48</f>
        <v>-319592452</v>
      </c>
      <c r="U49" s="8" t="n">
        <f aca="false">T49-T48</f>
        <v>-758208442</v>
      </c>
      <c r="V49" s="8" t="n">
        <f aca="false">U49-U48</f>
        <v>-1007152208</v>
      </c>
      <c r="W49" s="8" t="n">
        <f aca="false">V49-V48</f>
        <v>-1068351009</v>
      </c>
      <c r="X49" s="8" t="n">
        <f aca="false">W49-W48</f>
        <v>-900687508</v>
      </c>
      <c r="Y49" s="8" t="n">
        <f aca="false">X49-X48</f>
        <v>-455612386</v>
      </c>
      <c r="Z49" s="8" t="n">
        <f aca="false">Y49-Y48</f>
        <v>274982311</v>
      </c>
      <c r="AA49" s="8" t="n">
        <f aca="false">Z49-Z48</f>
        <v>1175923072</v>
      </c>
      <c r="AB49" s="8" t="n">
        <f aca="false">AA49-AA48</f>
        <v>1842528182</v>
      </c>
      <c r="AC49" s="8" t="n">
        <f aca="false">AB49-AB48</f>
        <v>1214329697</v>
      </c>
      <c r="AD49" s="8" t="n">
        <f aca="false">AC49-AC48</f>
        <v>-3265273171</v>
      </c>
      <c r="AE49" s="8" t="n">
        <f aca="false">AD49-AD48</f>
        <v>-17570324176</v>
      </c>
      <c r="AF49" s="8" t="n">
        <f aca="false">AE49-AE48</f>
        <v>-55359880445</v>
      </c>
    </row>
    <row r="50" customFormat="false" ht="15" hidden="false" customHeight="false" outlineLevel="0" collapsed="false">
      <c r="A50" s="9" t="n">
        <v>49</v>
      </c>
      <c r="B50" s="12" t="n">
        <f aca="false">Counts!C50</f>
        <v>273111732997348</v>
      </c>
      <c r="C50" s="8" t="n">
        <f aca="false">B50-B49</f>
        <v>136643800525773</v>
      </c>
      <c r="D50" s="8" t="n">
        <f aca="false">C50-C49</f>
        <v>68363978006094</v>
      </c>
      <c r="E50" s="8" t="n">
        <f aca="false">D50-D49</f>
        <v>34202145317246</v>
      </c>
      <c r="F50" s="8" t="n">
        <f aca="false">E50-E49</f>
        <v>17110737978130</v>
      </c>
      <c r="G50" s="8" t="n">
        <f aca="false">F50-F49</f>
        <v>8560008793900</v>
      </c>
      <c r="H50" s="8" t="n">
        <f aca="false">G50-G49</f>
        <v>4282235334350</v>
      </c>
      <c r="I50" s="8" t="n">
        <f aca="false">H50-H49</f>
        <v>2142194451646</v>
      </c>
      <c r="J50" s="8" t="n">
        <f aca="false">I50-I49</f>
        <v>1071623189784</v>
      </c>
      <c r="K50" s="8" t="n">
        <f aca="false">J50-J49</f>
        <v>536078950249</v>
      </c>
      <c r="L50" s="8" t="n">
        <f aca="false">K50-K49</f>
        <v>268192922568</v>
      </c>
      <c r="M50" s="8" t="n">
        <f aca="false">L50-L49</f>
        <v>134212640310</v>
      </c>
      <c r="N50" s="8" t="n">
        <f aca="false">M50-M49</f>
        <v>67233341361</v>
      </c>
      <c r="O50" s="8" t="n">
        <f aca="false">N50-N49</f>
        <v>33794864791</v>
      </c>
      <c r="P50" s="8" t="n">
        <f aca="false">O50-O49</f>
        <v>17171266813</v>
      </c>
      <c r="Q50" s="8" t="n">
        <f aca="false">P50-P49</f>
        <v>9011168640</v>
      </c>
      <c r="R50" s="8" t="n">
        <f aca="false">Q50-Q49</f>
        <v>5154851887</v>
      </c>
      <c r="S50" s="8" t="n">
        <f aca="false">R50-R49</f>
        <v>3539301032</v>
      </c>
      <c r="T50" s="8" t="n">
        <f aca="false">S50-S49</f>
        <v>3145596524</v>
      </c>
      <c r="U50" s="8" t="n">
        <f aca="false">T50-T49</f>
        <v>3465188976</v>
      </c>
      <c r="V50" s="8" t="n">
        <f aca="false">U50-U49</f>
        <v>4223397418</v>
      </c>
      <c r="W50" s="8" t="n">
        <f aca="false">V50-V49</f>
        <v>5230549626</v>
      </c>
      <c r="X50" s="8" t="n">
        <f aca="false">W50-W49</f>
        <v>6298900635</v>
      </c>
      <c r="Y50" s="8" t="n">
        <f aca="false">X50-X49</f>
        <v>7199588143</v>
      </c>
      <c r="Z50" s="8" t="n">
        <f aca="false">Y50-Y49</f>
        <v>7655200529</v>
      </c>
      <c r="AA50" s="8" t="n">
        <f aca="false">Z50-Z49</f>
        <v>7380218218</v>
      </c>
      <c r="AB50" s="8" t="n">
        <f aca="false">AA50-AA49</f>
        <v>6204295146</v>
      </c>
      <c r="AC50" s="8" t="n">
        <f aca="false">AB50-AB49</f>
        <v>4361766964</v>
      </c>
      <c r="AD50" s="8" t="n">
        <f aca="false">AC50-AC49</f>
        <v>3147437267</v>
      </c>
      <c r="AE50" s="8" t="n">
        <f aca="false">AD50-AD49</f>
        <v>6412710438</v>
      </c>
      <c r="AF50" s="8" t="n">
        <f aca="false">AE50-AE49</f>
        <v>23983034614</v>
      </c>
    </row>
    <row r="51" customFormat="false" ht="15" hidden="false" customHeight="false" outlineLevel="0" collapsed="false">
      <c r="A51" s="9" t="n">
        <v>50</v>
      </c>
      <c r="B51" s="12" t="n">
        <f aca="false">Counts!C51</f>
        <v>546561006394683</v>
      </c>
      <c r="C51" s="8" t="n">
        <f aca="false">B51-B50</f>
        <v>273449273397335</v>
      </c>
      <c r="D51" s="8" t="n">
        <f aca="false">C51-C50</f>
        <v>136805472871562</v>
      </c>
      <c r="E51" s="8" t="n">
        <f aca="false">D51-D50</f>
        <v>68441494865468</v>
      </c>
      <c r="F51" s="8" t="n">
        <f aca="false">E51-E50</f>
        <v>34239349548222</v>
      </c>
      <c r="G51" s="8" t="n">
        <f aca="false">F51-F50</f>
        <v>17128611570092</v>
      </c>
      <c r="H51" s="8" t="n">
        <f aca="false">G51-G50</f>
        <v>8568602776192</v>
      </c>
      <c r="I51" s="8" t="n">
        <f aca="false">H51-H50</f>
        <v>4286367441842</v>
      </c>
      <c r="J51" s="8" t="n">
        <f aca="false">I51-I50</f>
        <v>2144172990196</v>
      </c>
      <c r="K51" s="8" t="n">
        <f aca="false">J51-J50</f>
        <v>1072549800412</v>
      </c>
      <c r="L51" s="8" t="n">
        <f aca="false">K51-K50</f>
        <v>536470850163</v>
      </c>
      <c r="M51" s="8" t="n">
        <f aca="false">L51-L50</f>
        <v>268277927595</v>
      </c>
      <c r="N51" s="8" t="n">
        <f aca="false">M51-M50</f>
        <v>134065287285</v>
      </c>
      <c r="O51" s="8" t="n">
        <f aca="false">N51-N50</f>
        <v>66831945924</v>
      </c>
      <c r="P51" s="8" t="n">
        <f aca="false">O51-O50</f>
        <v>33037081133</v>
      </c>
      <c r="Q51" s="8" t="n">
        <f aca="false">P51-P50</f>
        <v>15865814320</v>
      </c>
      <c r="R51" s="8" t="n">
        <f aca="false">Q51-Q50</f>
        <v>6854645680</v>
      </c>
      <c r="S51" s="8" t="n">
        <f aca="false">R51-R50</f>
        <v>1699793793</v>
      </c>
      <c r="T51" s="8" t="n">
        <f aca="false">S51-S50</f>
        <v>-1839507239</v>
      </c>
      <c r="U51" s="8" t="n">
        <f aca="false">T51-T50</f>
        <v>-4985103763</v>
      </c>
      <c r="V51" s="8" t="n">
        <f aca="false">U51-U50</f>
        <v>-8450292739</v>
      </c>
      <c r="W51" s="8" t="n">
        <f aca="false">V51-V50</f>
        <v>-12673690157</v>
      </c>
      <c r="X51" s="8" t="n">
        <f aca="false">W51-W50</f>
        <v>-17904239783</v>
      </c>
      <c r="Y51" s="8" t="n">
        <f aca="false">X51-X50</f>
        <v>-24203140418</v>
      </c>
      <c r="Z51" s="8" t="n">
        <f aca="false">Y51-Y50</f>
        <v>-31402728561</v>
      </c>
      <c r="AA51" s="8" t="n">
        <f aca="false">Z51-Z50</f>
        <v>-39057929090</v>
      </c>
      <c r="AB51" s="8" t="n">
        <f aca="false">AA51-AA50</f>
        <v>-46438147308</v>
      </c>
      <c r="AC51" s="8" t="n">
        <f aca="false">AB51-AB50</f>
        <v>-52642442454</v>
      </c>
      <c r="AD51" s="8" t="n">
        <f aca="false">AC51-AC50</f>
        <v>-57004209418</v>
      </c>
      <c r="AE51" s="8" t="n">
        <f aca="false">AD51-AD50</f>
        <v>-60151646685</v>
      </c>
      <c r="AF51" s="8" t="n">
        <f aca="false">AE51-AE50</f>
        <v>-66564357123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72"/>
  </cols>
  <sheetData>
    <row r="1" customFormat="false" ht="17.35" hidden="false" customHeight="false" outlineLevel="0" collapsed="false">
      <c r="A1" s="13" t="s">
        <v>42</v>
      </c>
    </row>
    <row r="3" customFormat="false" ht="15" hidden="false" customHeight="false" outlineLevel="0" collapsed="false">
      <c r="A3" s="5" t="s">
        <v>43</v>
      </c>
      <c r="B3" s="5" t="s">
        <v>44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49</v>
      </c>
    </row>
    <row r="4" customFormat="false" ht="15" hidden="false" customHeight="false" outlineLevel="0" collapsed="false">
      <c r="A4" s="6" t="s">
        <v>50</v>
      </c>
      <c r="B4" s="12" t="n">
        <f aca="false">'Prime differences'!C3</f>
        <v>0</v>
      </c>
      <c r="C4" s="12" t="n">
        <f aca="false">'Composite differences'!C3</f>
        <v>1</v>
      </c>
      <c r="D4" s="8" t="n">
        <f aca="false">2^(2-1-1)</f>
        <v>1</v>
      </c>
      <c r="E4" s="6" t="s">
        <v>51</v>
      </c>
      <c r="F4" s="7" t="n">
        <v>0</v>
      </c>
      <c r="G4" s="6" t="s">
        <v>52</v>
      </c>
    </row>
    <row r="5" customFormat="false" ht="15" hidden="false" customHeight="false" outlineLevel="0" collapsed="false">
      <c r="A5" s="6" t="s">
        <v>53</v>
      </c>
      <c r="B5" s="12" t="n">
        <f aca="false">'Prime differences'!C5</f>
        <v>0</v>
      </c>
      <c r="C5" s="12" t="n">
        <f aca="false">'Composite differences'!C5</f>
        <v>4</v>
      </c>
      <c r="D5" s="8" t="n">
        <f aca="false">2^(4-1-1)</f>
        <v>4</v>
      </c>
      <c r="E5" s="6" t="s">
        <v>54</v>
      </c>
      <c r="F5" s="7" t="n">
        <v>2</v>
      </c>
      <c r="G5" s="6" t="s">
        <v>52</v>
      </c>
    </row>
    <row r="6" customFormat="false" ht="15" hidden="false" customHeight="false" outlineLevel="0" collapsed="false">
      <c r="A6" s="6" t="s">
        <v>55</v>
      </c>
      <c r="B6" s="12" t="n">
        <f aca="false">'Prime differences'!E9</f>
        <v>0</v>
      </c>
      <c r="C6" s="12" t="n">
        <f aca="false">'Composite differences'!E9</f>
        <v>16</v>
      </c>
      <c r="D6" s="8" t="n">
        <f aca="false">2^(8-3-1)</f>
        <v>16</v>
      </c>
      <c r="E6" s="6" t="s">
        <v>56</v>
      </c>
      <c r="F6" s="7" t="n">
        <v>6</v>
      </c>
      <c r="G6" s="6" t="s">
        <v>57</v>
      </c>
    </row>
    <row r="7" customFormat="false" ht="15" hidden="false" customHeight="false" outlineLevel="0" collapsed="false">
      <c r="A7" s="6" t="s">
        <v>58</v>
      </c>
      <c r="B7" s="12" t="n">
        <f aca="false">'Prime differences'!H21</f>
        <v>0</v>
      </c>
      <c r="C7" s="12" t="n">
        <f aca="false">'Composite differences'!H21</f>
        <v>8192</v>
      </c>
      <c r="D7" s="8" t="n">
        <f aca="false">2^(20-6-1)</f>
        <v>8192</v>
      </c>
      <c r="E7" s="6" t="s">
        <v>59</v>
      </c>
      <c r="F7" s="7" t="n">
        <v>1028</v>
      </c>
      <c r="G7" s="6" t="s">
        <v>60</v>
      </c>
    </row>
    <row r="9" customFormat="false" ht="17.35" hidden="false" customHeight="false" outlineLevel="0" collapsed="false">
      <c r="A9" s="13" t="s">
        <v>61</v>
      </c>
    </row>
    <row r="10" customFormat="false" ht="15" hidden="false" customHeight="false" outlineLevel="0" collapsed="false">
      <c r="A10" s="14" t="s">
        <v>62</v>
      </c>
    </row>
    <row r="12" customFormat="false" ht="15" hidden="false" customHeight="false" outlineLevel="0" collapsed="false">
      <c r="A12" s="9" t="s">
        <v>63</v>
      </c>
      <c r="B12" s="9" t="s">
        <v>64</v>
      </c>
      <c r="C12" s="9" t="s">
        <v>65</v>
      </c>
      <c r="D12" s="9" t="s">
        <v>66</v>
      </c>
    </row>
    <row r="13" customFormat="false" ht="15" hidden="false" customHeight="false" outlineLevel="0" collapsed="false">
      <c r="A13" s="6" t="n">
        <v>0</v>
      </c>
      <c r="B13" s="6" t="s">
        <v>67</v>
      </c>
      <c r="C13" s="12" t="n">
        <f aca="false">'Prime differences'!B3</f>
        <v>1</v>
      </c>
      <c r="D13" s="6" t="s">
        <v>50</v>
      </c>
    </row>
    <row r="14" customFormat="false" ht="15" hidden="false" customHeight="false" outlineLevel="0" collapsed="false">
      <c r="A14" s="6" t="n">
        <v>0</v>
      </c>
      <c r="B14" s="6" t="s">
        <v>68</v>
      </c>
      <c r="C14" s="12" t="n">
        <f aca="false">'Prime differences'!B5</f>
        <v>2</v>
      </c>
      <c r="D14" s="6" t="s">
        <v>53</v>
      </c>
    </row>
    <row r="15" customFormat="false" ht="15" hidden="false" customHeight="false" outlineLevel="0" collapsed="false">
      <c r="A15" s="6" t="n">
        <v>2</v>
      </c>
      <c r="B15" s="6" t="s">
        <v>69</v>
      </c>
      <c r="C15" s="12" t="n">
        <f aca="false">'Prime differences'!D9</f>
        <v>4</v>
      </c>
      <c r="D15" s="6" t="s">
        <v>55</v>
      </c>
    </row>
    <row r="16" customFormat="false" ht="15" hidden="false" customHeight="false" outlineLevel="0" collapsed="false">
      <c r="A16" s="6" t="n">
        <v>5</v>
      </c>
      <c r="B16" s="6" t="s">
        <v>70</v>
      </c>
      <c r="C16" s="12" t="n">
        <f aca="false">'Prime differences'!G21</f>
        <v>623</v>
      </c>
      <c r="D16" s="6" t="s">
        <v>58</v>
      </c>
    </row>
    <row r="18" customFormat="false" ht="15" hidden="false" customHeight="false" outlineLevel="0" collapsed="false">
      <c r="A18" s="14" t="s">
        <v>71</v>
      </c>
    </row>
    <row r="19" customFormat="false" ht="15" hidden="false" customHeight="false" outlineLevel="0" collapsed="false">
      <c r="A19" s="14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2026-08-12T07:39:09Z</dcterms:created>
  <dc:creator>openpyxl</dc:creator>
  <dc:description/>
  <dc:language>en-US</dc:language>
  <cp:lastModifiedBy/>
  <dcterms:modified xsi:type="dcterms:W3CDTF">2026-08-12T07:39:09Z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